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ME" sheetId="1" r:id="rId5"/>
    <sheet state="visible" name="01_Source_Register" sheetId="2" r:id="rId6"/>
    <sheet state="visible" name="02_Section_Index" sheetId="3" r:id="rId7"/>
    <sheet state="visible" name="03_Table_Index" sheetId="4" r:id="rId8"/>
    <sheet state="visible" name="04_Report_Particulars" sheetId="5" r:id="rId9"/>
    <sheet state="visible" name="05_Assumptions" sheetId="6" r:id="rId10"/>
    <sheet state="visible" name="10_Municipal_Master" sheetId="7" r:id="rId11"/>
    <sheet state="visible" name="11_Jurisdiction_Rollup" sheetId="8" r:id="rId12"/>
    <sheet state="visible" name="12_PhilHealth_Accreditation" sheetId="9" r:id="rId13"/>
    <sheet state="visible" name="13_Konsulta_Return" sheetId="10" r:id="rId14"/>
    <sheet state="visible" name="14_Inpatient_Capacity" sheetId="11" r:id="rId15"/>
    <sheet state="visible" name="15_Cold_Chain" sheetId="12" r:id="rId16"/>
    <sheet state="visible" name="16_RHU_Standard_and_Coverage" sheetId="13" r:id="rId17"/>
    <sheet state="visible" name="D01_Executive_summary_and_he" sheetId="14" r:id="rId18"/>
    <sheet state="visible" name="D02_Evidence_base_scope_and" sheetId="15" r:id="rId19"/>
    <sheet state="visible" name="D03_Disease_burden_and_servi" sheetId="16" r:id="rId20"/>
    <sheet state="visible" name="D04_First_contact_facilities" sheetId="17" r:id="rId21"/>
    <sheet state="visible" name="D05_Cold_chain_and_commoditi" sheetId="18" r:id="rId22"/>
    <sheet state="visible" name="D06_Payment_PhilHealth_and_f" sheetId="19" r:id="rId23"/>
    <sheet state="visible" name="D07_Referral_and_inpatient_c" sheetId="20" r:id="rId24"/>
    <sheet state="visible" name="D08_Routine_reporting_FHSIS" sheetId="21" r:id="rId25"/>
    <sheet state="visible" name="D09_Reconciliation_and_diver" sheetId="22" r:id="rId26"/>
    <sheet state="visible" name="D10_Governance_and_legal_fra" sheetId="23" r:id="rId27"/>
    <sheet state="visible" name="D11_Priorities_and_sequencin" sheetId="24" r:id="rId28"/>
    <sheet state="visible" name="D12_Investment_logic_and_vol" sheetId="25" r:id="rId29"/>
    <sheet state="visible" name="D13_Monitoring_indicators" sheetId="26" r:id="rId30"/>
    <sheet state="visible" name="D14_Annexes_master_tables_an" sheetId="27" r:id="rId31"/>
    <sheet state="visible" name="90_QA_Flags" sheetId="28" r:id="rId32"/>
    <sheet state="visible" name="91_Metadata_Dictionary" sheetId="29" r:id="rId33"/>
  </sheets>
  <definedNames>
    <definedName hidden="1" localSheetId="2" name="_xlnm._FilterDatabase">'02_Section_Index'!$A$1:$H$228</definedName>
    <definedName hidden="1" localSheetId="3" name="_xlnm._FilterDatabase">'03_Table_Index'!$A$1:$N$149</definedName>
    <definedName hidden="1" localSheetId="6" name="_xlnm._FilterDatabase">'10_Municipal_Master'!$A$1:$AC$90</definedName>
  </definedNames>
  <calcPr/>
</workbook>
</file>

<file path=xl/sharedStrings.xml><?xml version="1.0" encoding="utf-8"?>
<sst xmlns="http://schemas.openxmlformats.org/spreadsheetml/2006/main" count="9493" uniqueCount="4142">
  <si>
    <t>BARMM HEALTH SYSTEMS DIAGNOSTICS — CONSOLIDATED RAW DATA AND METADATA</t>
  </si>
  <si>
    <t>Report</t>
  </si>
  <si>
    <t>Code</t>
  </si>
  <si>
    <t>Report title</t>
  </si>
  <si>
    <t>Google Doc file name</t>
  </si>
  <si>
    <t>Google Doc ID</t>
  </si>
  <si>
    <t>Link</t>
  </si>
  <si>
    <t>Scope / unit of analysis</t>
  </si>
  <si>
    <t>Coverage as declared</t>
  </si>
  <si>
    <t>Prepared by</t>
  </si>
  <si>
    <t>Prepared under</t>
  </si>
  <si>
    <t>Label</t>
  </si>
  <si>
    <t>Evidence base as declared</t>
  </si>
  <si>
    <t>Printed title / caption</t>
  </si>
  <si>
    <t>Status as declared</t>
  </si>
  <si>
    <t>Level</t>
  </si>
  <si>
    <t>Section no.</t>
  </si>
  <si>
    <t>Export characters</t>
  </si>
  <si>
    <t>Export lines</t>
  </si>
  <si>
    <t>Section title</t>
  </si>
  <si>
    <t>Section / subsection title</t>
  </si>
  <si>
    <t>WHAT IS FACT, WHAT IS DERIVED</t>
  </si>
  <si>
    <t>Sections captured</t>
  </si>
  <si>
    <t>Printed page (document contents list)</t>
  </si>
  <si>
    <t>Subsection no.</t>
  </si>
  <si>
    <t>Tables captured</t>
  </si>
  <si>
    <t>Black text, no fill</t>
  </si>
  <si>
    <t>Parent section no.</t>
  </si>
  <si>
    <t>Value transcribed verbatim from the source document. This is the report as printed.</t>
  </si>
  <si>
    <t>Subsection title</t>
  </si>
  <si>
    <t>Parent section title</t>
  </si>
  <si>
    <t>Export basis</t>
  </si>
  <si>
    <t>Green fill</t>
  </si>
  <si>
    <t>Entry as printed</t>
  </si>
  <si>
    <t>BARMM</t>
  </si>
  <si>
    <t>Printed page</t>
  </si>
  <si>
    <t>Rows (data)</t>
  </si>
  <si>
    <t>LIVE FORMULA. Recomputed in this workbook from the raw inputs in the same row or sheet. Changing an input recalculates the result.</t>
  </si>
  <si>
    <t>Columns</t>
  </si>
  <si>
    <t>Section</t>
  </si>
  <si>
    <t>BARMM Regional Health Systems Diagnostic</t>
  </si>
  <si>
    <t>Orange fill</t>
  </si>
  <si>
    <t>1</t>
  </si>
  <si>
    <t>BARMM_Regional_Health_Systems_Diagnostic_2026</t>
  </si>
  <si>
    <t>Executive Summary</t>
  </si>
  <si>
    <t>1dzIeIl6jTtxzQXwrF24ZUHT6uOuRUBZV8E55xVY0pFU</t>
  </si>
  <si>
    <t>Domain sheet</t>
  </si>
  <si>
    <t>https://docs.google.com/document/d/1dzIeIl6jTtxzQXwrF24ZUHT6uOuRUBZV8E55xVY0pFU/edit</t>
  </si>
  <si>
    <t>Domain</t>
  </si>
  <si>
    <t>Locator block — document, label, section, subsection and printed page for the table that follows.</t>
  </si>
  <si>
    <t>Red-orange fill</t>
  </si>
  <si>
    <t>Source note as printed</t>
  </si>
  <si>
    <t>Variance, QA flag or unresolved item. Requires resolution before the figure is used for allocation.</t>
  </si>
  <si>
    <t>Export line no.</t>
  </si>
  <si>
    <t>1 Executive Summary 4</t>
  </si>
  <si>
    <t>HOW TO READ THE SHEETS</t>
  </si>
  <si>
    <t>Subsection</t>
  </si>
  <si>
    <t>(unlabelled)</t>
  </si>
  <si>
    <t>The central assessment</t>
  </si>
  <si>
    <t>01_Source_Register</t>
  </si>
  <si>
    <t># 1 Executive Summary</t>
  </si>
  <si>
    <t>The five documents, their Google Doc IDs and links, coverage, evidence base and status as declared in each report's REPORT PARTICULARS block.</t>
  </si>
  <si>
    <t>02_Section_Index</t>
  </si>
  <si>
    <t>The central assessment 4</t>
  </si>
  <si>
    <t>Every numbered section and subsection of all five reports with the printed page number carried by that report's own contents list.</t>
  </si>
  <si>
    <t>03_Table_Index</t>
  </si>
  <si>
    <t>Every table, exhibit and annex across the five reports: label, printed title, section number, subsection number, printed page, dimensions, source note, and the domain sheet where its data sits.</t>
  </si>
  <si>
    <t>Eight findings</t>
  </si>
  <si>
    <t>04_Report_Particulars</t>
  </si>
  <si>
    <t>Each report's own REPORT PARTICULARS block: who prepared it, under what programme, its declared coverage, its declared evidence base and package, and its declared status.</t>
  </si>
  <si>
    <t>Eight findings 4</t>
  </si>
  <si>
    <t>05_Assumptions</t>
  </si>
  <si>
    <t>D01</t>
  </si>
  <si>
    <t>Executive summary and headline panels</t>
  </si>
  <si>
    <t>The planning parameters the live formulas depend on — the 1:20,000 catchment standard, the rounding convention for implied units, the bed-rate denominator and the population base year. Edit the yellow cells and every dependent sheet recalculates.</t>
  </si>
  <si>
    <t>10_Municipal_Master  (live)</t>
  </si>
  <si>
    <t>Decisions required of the Ministry</t>
  </si>
  <si>
    <t>The four LGU-level annex master tables harmonised into one register of 84 local government units plus Cotabato City, with live recomputation of population per rural health unit, the 1:20,000 implied requirement and shortfall, barangay coverage and beds per 1,000.</t>
  </si>
  <si>
    <t>11 to 16  (live)</t>
  </si>
  <si>
    <t>Decisions required of the Ministry 6</t>
  </si>
  <si>
    <t>Thematic recomputation sheets: jurisdiction roll-ups, PhilHealth accreditations, the Konsulta return, inpatient capacity, cold chain, the 1:20,000 standard, and the first-contact coverage gradient. Each carries the figure as printed alongside the live recomputation and the variance.</t>
  </si>
  <si>
    <t>D01 to D14</t>
  </si>
  <si>
    <t>| 84local government units infour jurisdictions | | 3,137,511 residents, 2024 Census — 55.1% of the 1 July 2024 BARMM-with-Sulu total; 69.0% of current BARMM | | 1,735 current barangays | | 756registered health facilitieson the registry basis |</t>
  </si>
  <si>
    <t>2</t>
  </si>
  <si>
    <t>Every remaining table reproduced verbatim, grouped by subject domain, each under its locator block.</t>
  </si>
  <si>
    <t>Scope, Evidence and Method</t>
  </si>
  <si>
    <t>90_QA_Flags</t>
  </si>
  <si>
    <t>Numbering defects, duplicated labels, missing tables, denominator conflicts and cross-document divergences found during extraction.</t>
  </si>
  <si>
    <t>2 Scope, Evidence and Method 9</t>
  </si>
  <si>
    <t>91_Metadata_Dictionary</t>
  </si>
  <si>
    <t>Field definitions, units, bases and source layers.</t>
  </si>
  <si>
    <t>What this consolidation is, and what it is not</t>
  </si>
  <si>
    <t>STANDING LIMITATIONS CARRIED FROM THE SOURCES</t>
  </si>
  <si>
    <t>D04</t>
  </si>
  <si>
    <t>First contact, facilities and catchment</t>
  </si>
  <si>
    <t>What this consolidation is, and what it is not 9</t>
  </si>
  <si>
    <t>Status</t>
  </si>
  <si>
    <t>All five reports are declared PROVISIONAL by their own particulars blocks. They establish cleaned service-location baselines, not validated registers of distinct licensed facilities.</t>
  </si>
  <si>
    <t>The evidence layers, consolidated</t>
  </si>
  <si>
    <t>EXHIBIT 1</t>
  </si>
  <si>
    <t>The evidence layers, consolidated 9</t>
  </si>
  <si>
    <t>Four jurisdictions, four distinct constraints, three shared findings</t>
  </si>
  <si>
    <t>Registers</t>
  </si>
  <si>
    <t>Facility identity, classification, ownership, licensing and accreditation remain subject to reconciliation with MOH-BARMM, DOH-HFSRB and PhilHealth records.</t>
  </si>
  <si>
    <t>The reconciliation rules carried forward</t>
  </si>
  <si>
    <t>Region-wide consolidation of four jurisdiction volumes</t>
  </si>
  <si>
    <t>Denominators</t>
  </si>
  <si>
    <t>Barangay denominators are not consistent across documents. Lanao del Sur's annex preserves the 1,159-node 2020 model geography while current administrative coverage is 1,164 barangays; a five-barangay crosswalk is outstanding.</t>
  </si>
  <si>
    <t>84 local government units, 1,735 current barangays and 3,137,511 residents in four jurisdictions. This is 69.0 per cent of the current PSA BARMM planning population. Basilan, Tawi-Tawi and Cotabato City are outside the workshop cycle; Sulu is outside the cycle and current BARMM.</t>
  </si>
  <si>
    <t>The reconciliation rules carried forward 10</t>
  </si>
  <si>
    <t>Page numbers</t>
  </si>
  <si>
    <t>D02</t>
  </si>
  <si>
    <t>Lawrence John Paulo L. Trinidad  ·  Consultant, International Organization for Migration (IOM)</t>
  </si>
  <si>
    <t>Evidence base, scope and method</t>
  </si>
  <si>
    <t>Page numbers are those printed in each document's own contents list at the time of export. They will move if the documents are repaginated. Section, subsection and table labels are the stable locators and are carried in every row.</t>
  </si>
  <si>
    <t>Building Resilience through Inclusive Governance and Healthcare Transformation in BARMM (BRIGHT-BARMM), a five-year initiative, 2025–2030</t>
  </si>
  <si>
    <t>Do not use for</t>
  </si>
  <si>
    <t>Relation to the superseded regional draft of 6 August 2026</t>
  </si>
  <si>
    <t>PSA 2024 Census and current PSGC; 2022 NDHS historical baseline; 2025 NDHS current regional key indicators; municipal scorecards; facility register; dated PhilHealth/Konsulta returns requiring current YAKAP verification; MOH-BARMM FHSIS assessment; WHO, World Bank and workshop records.</t>
  </si>
  <si>
    <t>Allocation, procurement or costing decisions until the QA flags on sheet 90 are closed.</t>
  </si>
  <si>
    <t>TABLE 1</t>
  </si>
  <si>
    <t>Provisional. This consolidation carries forward the provisional status of all four volumes. No figure in it is validated beyond the validation each volume states its own figures require, and no figure in it should be used for allocation or procurement before the ninety-day programmes at Annex B are complete.</t>
  </si>
  <si>
    <t>The four volumes at a glance</t>
  </si>
  <si>
    <t>Relation to the superseded regional draft of 6 August 2026 10</t>
  </si>
  <si>
    <t>3</t>
  </si>
  <si>
    <t>Four Jurisdictions, Four Constraints</t>
  </si>
  <si>
    <t>2026-08-11 (Asia/Manila) — Google Docs text export via Google Drive connector</t>
  </si>
  <si>
    <t>3 Four Jurisdictions, Four Constraints 11</t>
  </si>
  <si>
    <t>LDS</t>
  </si>
  <si>
    <t>4</t>
  </si>
  <si>
    <t>Stage One — The Illness</t>
  </si>
  <si>
    <t>Lanao del Sur Provincial Health Systems Diagnostic</t>
  </si>
  <si>
    <t>TABLE 2</t>
  </si>
  <si>
    <t>Lanao_del_Sur_Provincial_Health_Systems_Diagnostic_2026</t>
  </si>
  <si>
    <t>The evidence layers and what each can carry across four jurisdictions</t>
  </si>
  <si>
    <t>1iZhI2yG39xlDHiQUGLeSOtYpXfam9joZxB5eLtAqRU0</t>
  </si>
  <si>
    <t>4 Stage One — The Illness 13</t>
  </si>
  <si>
    <t>https://docs.google.com/document/d/1iZhI2yG39xlDHiQUGLeSOtYpXfam9joZxB5eLtAqRU0/edit</t>
  </si>
  <si>
    <t>What the record does not yet support on mortality</t>
  </si>
  <si>
    <t>What the record does not yet support on mortality 13</t>
  </si>
  <si>
    <t>The non-communicable disease loop</t>
  </si>
  <si>
    <t>EXHIBIT 2</t>
  </si>
  <si>
    <t>The non-communicable disease loop 13</t>
  </si>
  <si>
    <t>The regional dashboard: what each jurisdiction can and cannot measure</t>
  </si>
  <si>
    <t>Tuberculosis: one detection ratio, three provinces</t>
  </si>
  <si>
    <t>Province of Lanao del Sur (40 LGUs incl. Marawi City)</t>
  </si>
  <si>
    <t>Seventeen (17) local government units of Lanao del Sur participating in the Evidence-Based Decision-Making (EBDM) workshop cycle</t>
  </si>
  <si>
    <t>Tuberculosis: one detection ratio, three provinces 14</t>
  </si>
  <si>
    <t>The measles outbreak as arbitration</t>
  </si>
  <si>
    <t>Building Resilience through Inclusive Governance and Healthcare Transformation in BARMM (BRIGHT-BARMM)</t>
  </si>
  <si>
    <t>Municipal and provincial EBDM worksheet submissions (BARMM 20260629 package), audited into 442 raw rows, 407 cleaned service-location records and 174 records with named or typed facility evidence. Facility identity, classification, accreditation and cold-chain assets remain subject to reconciliation with MOH-BARMM/DOH, PhilHealth and local records.</t>
  </si>
  <si>
    <t>The measles outbreak as arbitration 14</t>
  </si>
  <si>
    <t>Provisional. The revision establishes a cleaned service-location baseline, not a validated count of distinct facilities. Registry reconciliation and field verification remain required before allocation or procurement.</t>
  </si>
  <si>
    <t>5</t>
  </si>
  <si>
    <t>TABLE 3</t>
  </si>
  <si>
    <t>Stage Two — First Contact</t>
  </si>
  <si>
    <t>What the evidence establishes, and does not establish, about disease burden</t>
  </si>
  <si>
    <t>5 Stage Two — First Contact 16</t>
  </si>
  <si>
    <t>MDN</t>
  </si>
  <si>
    <t>Maguindanao del Norte Provincial Health Systems Diagnostic</t>
  </si>
  <si>
    <t>Maguindanao_del_Norte_Provincial_Health_Systems_Diagnostic_2026</t>
  </si>
  <si>
    <t>The coverage gradient</t>
  </si>
  <si>
    <t>1JLHwqdyuaFspWyMZVIoNMDLXeGYt1dX5ot2H6V5AST4</t>
  </si>
  <si>
    <t>https://docs.google.com/document/d/1JLHwqdyuaFspWyMZVIoNMDLXeGYt1dX5ot2H6V5AST4/edit</t>
  </si>
  <si>
    <t>D03</t>
  </si>
  <si>
    <t>The coverage gradient 16</t>
  </si>
  <si>
    <t>Disease burden and service coverage</t>
  </si>
  <si>
    <t>The 1:20,000 standard is not a facility standard</t>
  </si>
  <si>
    <t>EXHIBIT 3</t>
  </si>
  <si>
    <t>Adults risk-assessed under PhilPEN, by jurisdiction</t>
  </si>
  <si>
    <t>The 1:20,000 standard is not a facility standard 16</t>
  </si>
  <si>
    <t>The cold chain is not yet assessable from the record</t>
  </si>
  <si>
    <t>The cold chain is not yet assessable from the record 17</t>
  </si>
  <si>
    <t>Province of Maguindanao del Norte (12 municipalities); Cotabato City shown separately</t>
  </si>
  <si>
    <t>Twelve (12) constituent municipalities of Maguindanao del Norte — the full complement of the province — participating in the Evidence-Based Decision-Making (EBDM) workshop cycle, together with the City of Cotabato, which participated as an adjunct reporting entity and is not a component local government unit of the province.</t>
  </si>
  <si>
    <t>Isolation is not yet measured in three of four jurisdictions</t>
  </si>
  <si>
    <t>EXHIBIT 4</t>
  </si>
  <si>
    <t>The first-contact coverage gradient: 11 per cent to 100 per cent</t>
  </si>
  <si>
    <t>Municipal EBDM worksheet submissions (BARMM 20260629 package), audited into 300 raw rows, 230 rows attributable to the twelve constituent municipalities and 207 cleaned service-location records after removal of echo and padding rows. Forty-seven further rows belong to the City of Cotabato and twenty-three to Datu Paglas, a Maguindanao del Sur municipality misfiled in the provincial workbook. Read against the national facility registry (224 records in the twelve municipalities), the DOH LGU Health Scorecard municipal dataset, the MOH-BARMM FHSIS assessment and PhilHealth returns.</t>
  </si>
  <si>
    <t>Isolation is not yet measured in three of four jurisdictions 17</t>
  </si>
  <si>
    <t>Provisional. The report establishes a reconciled service-location baseline and a first municipal master table for a province created in 2022 and not yet carried as a separate reporting unit in most national datasets. Registry reconciliation, denominator validation and field verification remain required before allocation or procurement.</t>
  </si>
  <si>
    <t>6</t>
  </si>
  <si>
    <t>Stage Three — Payment</t>
  </si>
  <si>
    <t>6 Stage Three — Payment 18</t>
  </si>
  <si>
    <t>MDS</t>
  </si>
  <si>
    <t>Maguindanao del Sur Provincial Health Systems Diagnostic</t>
  </si>
  <si>
    <t>TABLE 4</t>
  </si>
  <si>
    <t>Maguindanao_del_Sur_Provincial_Health_Systems_Diagnostic_2026</t>
  </si>
  <si>
    <t>Rural health units against the 1:20,000 planning target</t>
  </si>
  <si>
    <t>1hd1i9nx9ABMeMfDunmPezHI4grylzYzKH7RTHT2HG7Q</t>
  </si>
  <si>
    <t>The perimeter</t>
  </si>
  <si>
    <t>https://docs.google.com/document/d/1hd1i9nx9ABMeMfDunmPezHI4grylzYzKH7RTHT2HG7Q/edit</t>
  </si>
  <si>
    <t>The perimeter 18</t>
  </si>
  <si>
    <t>The throughput not yet computable</t>
  </si>
  <si>
    <t>EXHIBIT 5</t>
  </si>
  <si>
    <t>Cold chain: 115 functional, 353 not stated, out of 836 records</t>
  </si>
  <si>
    <t>The throughput not yet computable 18</t>
  </si>
  <si>
    <t>The area absent from the current line item</t>
  </si>
  <si>
    <t>D05</t>
  </si>
  <si>
    <t>Cold chain and commodities</t>
  </si>
  <si>
    <t>Province of Maguindanao del Sur (24 municipalities)</t>
  </si>
  <si>
    <t>The area absent from the current line item 19</t>
  </si>
  <si>
    <t>The twenty-four (24) constituent municipalities of Maguindanao del Sur enumerated in Republic Act No. 11550, §3(b); 287 barangays; 813,243 residents at the 2024 Census</t>
  </si>
  <si>
    <t>Lawrence John Paulo L. Trinidad · Consultant, International Organization for Migration (IOM)</t>
  </si>
  <si>
    <t>TABLE 5</t>
  </si>
  <si>
    <t>PhilHealth-accredited health care institutions, BARMM by province</t>
  </si>
  <si>
    <t>What the household pays</t>
  </si>
  <si>
    <t>Official statistics for all 24 municipalities (PSA 2024 Census; DOH LGU Health Scorecard; the 222-record DOH/HFSRB facility register; PhilHealth returns of July 2024; the MOH-BARMM FHSIS assessment) tested against the EBDM workshop record filed by 21 of 24 local government units. Facility identity, classification, accreditation, workforce and revenue fields remain subject to reconciliation with MOH-BARMM/DOH, PhilHealth and local records.</t>
  </si>
  <si>
    <t>Provisional. This edition establishes a municipality-level baseline on official sources. It does not adopt the provincial dashboard circulated in the 20260624/20260629 package, which represents two of twenty-four municipalities and is treated in §2.5 as a reconciliation item to be corrected before use as evidence.</t>
  </si>
  <si>
    <t>What the household pays 19</t>
  </si>
  <si>
    <t>7</t>
  </si>
  <si>
    <t>Stage Four — Referral</t>
  </si>
  <si>
    <t>SGA</t>
  </si>
  <si>
    <t>Special Geographic Area Health Systems Diagnostic</t>
  </si>
  <si>
    <t>D06</t>
  </si>
  <si>
    <t>Special_Geographic_Area_Health_Systems_Diagnostic_2026</t>
  </si>
  <si>
    <t>7 Stage Four — Referral 21</t>
  </si>
  <si>
    <t>Payment, PhilHealth and financing</t>
  </si>
  <si>
    <t>1sc7EG9QPVDd5x_zTKnJbfOmBXOYgAdCbretmVNW1PE0</t>
  </si>
  <si>
    <t>https://docs.google.com/document/d/1sc7EG9QPVDd5x_zTKnJbfOmBXOYgAdCbretmVNW1PE0/edit</t>
  </si>
  <si>
    <t>The inpatient stock</t>
  </si>
  <si>
    <t>TABLE 6</t>
  </si>
  <si>
    <t>The PhilHealth Konsulta return, and its three arithmetic failures</t>
  </si>
  <si>
    <t>The inpatient stock 21</t>
  </si>
  <si>
    <t>Three different ownership exposures</t>
  </si>
  <si>
    <t>Three different ownership exposures 21</t>
  </si>
  <si>
    <t>TABLE 7</t>
  </si>
  <si>
    <t>Special Geographic Area, PSGC 1999900000 (8 municipalities)</t>
  </si>
  <si>
    <t>The referral measurement gap</t>
  </si>
  <si>
    <t>Licensed inpatient capacity across the four jurisdictions</t>
  </si>
  <si>
    <t>The Special Geographic Area (PSGC 1999900000): eight municipalities, 63 barangays, 214,703 residents at the 2024 Census of Population. All eight municipalities are inside the evidence base. There is no absent cohort.</t>
  </si>
  <si>
    <t>Evidence-Based Decision-Making workstream, BRIGHT-BARMM, International Organization for Migration.</t>
  </si>
  <si>
    <t>The Executive Workshop on Evidence-Based Decision Making for Local Health Leaders (BRIGHT BARMM).</t>
  </si>
  <si>
    <t>The referral measurement gap 22</t>
  </si>
  <si>
    <t>Municipal EBDM worksheet submissions (BARMM 20260629 package), audited into 105 raw rows and 66 cleaned service-location records; the project-held DOH facility register (68 Special Geographic Area registrations); the MOH-BARMM FHSIS unit assessment (two of eight municipalities); the draft 2024 BARMM LGU Health Scorecard; PhilHealth's July 2024 returns to IOM; and the World Bank BARMM household survey, North Cotabato stratum. Facility identity, classification, ownership, licensing and accreditation remain subject to reconciliation with MOH-BARMM, DOH-HFSRB and PhilHealth records.</t>
  </si>
  <si>
    <t>Provisional. The report establishes a cleaned service-location baseline reconciled to the 2024 Census, not a validated register of distinct licensed facilities. Registry reconciliation, licensure verification and field validation remain required before allocation or procurement.</t>
  </si>
  <si>
    <t>The service-delivery network document not yet located</t>
  </si>
  <si>
    <t>D07</t>
  </si>
  <si>
    <t>Referral and inpatient capacity</t>
  </si>
  <si>
    <t>The service-delivery network document not yet located 22</t>
  </si>
  <si>
    <t>EXHIBIT 6</t>
  </si>
  <si>
    <t>8</t>
  </si>
  <si>
    <t>The referral measurement gap: zero observations across 57 reporting units</t>
  </si>
  <si>
    <t>Stage Five — Follow-Up and the Record</t>
  </si>
  <si>
    <t>8 Stage Five — Follow-Up and the Record 24</t>
  </si>
  <si>
    <t>Field</t>
  </si>
  <si>
    <t>Value as declared in the report</t>
  </si>
  <si>
    <t>The FHSIS apparatus</t>
  </si>
  <si>
    <t>The FHSIS apparatus 24</t>
  </si>
  <si>
    <t>TABLE 8</t>
  </si>
  <si>
    <t>The condition of routine reporting: 68 assessed units</t>
  </si>
  <si>
    <t>The instrument requires repair</t>
  </si>
  <si>
    <t>Program partners</t>
  </si>
  <si>
    <t>KOICA and IOM, in partnership with the Ministry of Health, BARMM</t>
  </si>
  <si>
    <t>The instrument requires repair 24</t>
  </si>
  <si>
    <t>Coverage</t>
  </si>
  <si>
    <t>D08</t>
  </si>
  <si>
    <t>Routine reporting, FHSIS and civil registration</t>
  </si>
  <si>
    <t>Evidence base</t>
  </si>
  <si>
    <t>Civil registration and the invisible denominator</t>
  </si>
  <si>
    <t>EXHIBIT 7</t>
  </si>
  <si>
    <t>Five divergences between the administrative record and independent measurement</t>
  </si>
  <si>
    <t>Civil registration and the invisible denominator 25</t>
  </si>
  <si>
    <t>9</t>
  </si>
  <si>
    <t>The Reconciliation</t>
  </si>
  <si>
    <t>D09</t>
  </si>
  <si>
    <t>Reconciliation and divergences</t>
  </si>
  <si>
    <t>9 The Reconciliation 26</t>
  </si>
  <si>
    <t>Korea International Cooperation Agency (KOICA) and the International Organization for Migration (IOM), in partnership with the Ministry of Health, Bangsamoro Autonomous Region in Muslim Mindanao (MOH-BARMM)</t>
  </si>
  <si>
    <t>TABLE 9</t>
  </si>
  <si>
    <t>What the divergence means for regional allocation</t>
  </si>
  <si>
    <t>The parser and build issues, by jurisdiction</t>
  </si>
  <si>
    <t>10</t>
  </si>
  <si>
    <t>The Evidence Pipeline</t>
  </si>
  <si>
    <t>What the divergence means for regional allocation 26</t>
  </si>
  <si>
    <t>A catalogue of data-build issues</t>
  </si>
  <si>
    <t>10 The Evidence Pipeline 28</t>
  </si>
  <si>
    <t>A</t>
  </si>
  <si>
    <t>catalogue of data-build issues</t>
  </si>
  <si>
    <t>A catalogue of data-build issues 28</t>
  </si>
  <si>
    <t>The composite score</t>
  </si>
  <si>
    <t>TABLE 10</t>
  </si>
  <si>
    <t>Legal obligations engaged by the consolidated findings</t>
  </si>
  <si>
    <t>The composite score 28</t>
  </si>
  <si>
    <t>11</t>
  </si>
  <si>
    <t>Governance and Legal Framework</t>
  </si>
  <si>
    <t>What a corrected build requires</t>
  </si>
  <si>
    <t>D10</t>
  </si>
  <si>
    <t>What a corrected build requires 29</t>
  </si>
  <si>
    <t>Governance and legal framework</t>
  </si>
  <si>
    <t>EXHIBIT 8</t>
  </si>
  <si>
    <t>Sequencing: what the Ministry must settle before anything else can be sized</t>
  </si>
  <si>
    <t>12</t>
  </si>
  <si>
    <t>Priorities: sequencing the Ministry’s own decisions</t>
  </si>
  <si>
    <t>11 Governance and Legal Framework 30</t>
  </si>
  <si>
    <t>Programme partners</t>
  </si>
  <si>
    <t>Ministry of Health, Bangsamoro Autonomous Region in Muslim Mindanao; Ministry of the Interior and Local Government–BARMM; Special Geographic Area Development Authority; the eight municipal governments of the Special Geographic Area.</t>
  </si>
  <si>
    <t>Three corrections of record</t>
  </si>
  <si>
    <t>D11</t>
  </si>
  <si>
    <t>Priorities and sequencing</t>
  </si>
  <si>
    <t>Three corrections of record 31</t>
  </si>
  <si>
    <t>EXHIBIT 9</t>
  </si>
  <si>
    <t>Regional volumetrics for the two-year programme</t>
  </si>
  <si>
    <t>13</t>
  </si>
  <si>
    <t>Two questions for referral</t>
  </si>
  <si>
    <t>Two-Year Investment Logic, 2026–2028</t>
  </si>
  <si>
    <t>Regional volumetrics</t>
  </si>
  <si>
    <t>Two questions for referral 31</t>
  </si>
  <si>
    <t>D12</t>
  </si>
  <si>
    <t>Investment logic and volumetrics</t>
  </si>
  <si>
    <t>Two powers not exercised</t>
  </si>
  <si>
    <t>TABLE 11</t>
  </si>
  <si>
    <t>Two powers not exercised 31</t>
  </si>
  <si>
    <t>The two-year programme: volumetrics, sequencing and financing route</t>
  </si>
  <si>
    <t>The programme</t>
  </si>
  <si>
    <t>12 Priorities: sequencing the Ministry’s own decisions 32</t>
  </si>
  <si>
    <t>TABLE 12</t>
  </si>
  <si>
    <t>Regional monitoring indicators</t>
  </si>
  <si>
    <t>14</t>
  </si>
  <si>
    <t>Monitoring Framework</t>
  </si>
  <si>
    <t>13 Two-Year Investment Logic, 2026–2028 33</t>
  </si>
  <si>
    <t>D13</t>
  </si>
  <si>
    <t>Monitoring indicators</t>
  </si>
  <si>
    <t>Regional volumetrics 33</t>
  </si>
  <si>
    <t>ANNEX A</t>
  </si>
  <si>
    <t># A Annex A — Jurisdiction master table</t>
  </si>
  <si>
    <t>Annex A — Jurisdiction master table</t>
  </si>
  <si>
    <t>The programme 33</t>
  </si>
  <si>
    <t>D14</t>
  </si>
  <si>
    <t>Annexes, master tables and gap registers</t>
  </si>
  <si>
    <t>Allocation basis, and why no envelope is costed</t>
  </si>
  <si>
    <t>ANNEX B</t>
  </si>
  <si>
    <t>Each of the four volumes carries its own validation programme, structured for completion within ninety days of adoption by the responsible health board, and none requires capital expenditure. The table consolidates the twenty-nine tasks in those four programmes into nineteen, and separates what the jurisdictions owe from what the Ministry owes. Ten of the nineteen require Ministry initiation or coordination; those are the rows prefixed M, and the four capital programmes are contingent on them.</t>
  </si>
  <si>
    <t>Allocation basis, and why no envelope is costed 34</t>
  </si>
  <si>
    <t>B</t>
  </si>
  <si>
    <t>Annex B — Consolidated ninety-day programme</t>
  </si>
  <si>
    <t>14 Monitoring Framework 35</t>
  </si>
  <si>
    <t>15</t>
  </si>
  <si>
    <t>ANNEX C</t>
  </si>
  <si>
    <t>Methodology, Evidence Tiers and Limitations</t>
  </si>
  <si>
    <t>Sixty items are recorded across the four volumes’ own gap registers. The fourteen below are those that recur in two or more jurisdictions, or that a single jurisdiction identifies as decisive. They are ordered by consequence. Twelve of the fourteen are documents retrievable by written request; two require field collection; none requires a new research design.</t>
  </si>
  <si>
    <t>C</t>
  </si>
  <si>
    <t>Annex C — Regional evidence gap register</t>
  </si>
  <si>
    <t>15 Methodology, Evidence Tiers and Limitations 36</t>
  </si>
  <si>
    <t>—</t>
  </si>
  <si>
    <t>References</t>
  </si>
  <si>
    <t>— References 37</t>
  </si>
  <si>
    <t>ANNEX D</t>
  </si>
  <si>
    <t>The four volumes were built sequentially and each corrected findings in its predecessors. Eleven divergences remain unresolved between them. They are recorded here rather than adjudicated, because resolving them requires a source the consolidation does not hold. Item 2 is load-bearing: it determines whether any jurisdiction in the series can state its leading causes of death.</t>
  </si>
  <si>
    <t>D</t>
  </si>
  <si>
    <t>Annex A — Jurisdiction master table (landscape)</t>
  </si>
  <si>
    <t>Annex D — Divergences between the four volumes</t>
  </si>
  <si>
    <t>A Annex A — Jurisdiction master table (landscape) 38</t>
  </si>
  <si>
    <t>Annex B — Consolidated ninety-day programme (landscape)</t>
  </si>
  <si>
    <t>B Annex B — Consolidated ninety-day programme (landscape) 39</t>
  </si>
  <si>
    <t>C Annex C — Regional evidence gap register 41</t>
  </si>
  <si>
    <t>| 11licensed hospitals |</t>
  </si>
  <si>
    <t>Annex D — Divergences between the four volumes (landscape)</t>
  </si>
  <si>
    <t>D Annex D — Divergences between the four volumes (landscape) 42</t>
  </si>
  <si>
    <t>The five stages, and what fails at each one</t>
  </si>
  <si>
    <t>Six findings</t>
  </si>
  <si>
    <t>Note. Each claim is evidenced in the section indicated. Adapted from Philippine Statistics Authority (2025c); Philippine Statistics Authority and ICF (2023); Department of Health (n.d.-a, 2020b, 2022); Philippine Health Insurance Corporation (2024); World Bank (2019); and International Organization for Migration (2026a).</t>
  </si>
  <si>
    <t>Completion of required worksheet outputs across the cohort</t>
  </si>
  <si>
    <t>Program, Scope, Evidence and Method</t>
  </si>
  <si>
    <t>Six findings 5</t>
  </si>
  <si>
    <t>Decisions required of provincial leadership</t>
  </si>
  <si>
    <t>Decisions required of provincial leadership 6</t>
  </si>
  <si>
    <t>The five evidence layers and what each can carry</t>
  </si>
  <si>
    <t>2.2</t>
  </si>
  <si>
    <t>The five evidence layers</t>
  </si>
  <si>
    <t>2 Program, Scope, Evidence and Method 8</t>
  </si>
  <si>
    <t>ASSUMPTIONS AND PLANNING PARAMETERS — EDIT THE YELLOW CELLS AND THE WHOLE WORKBOOK RECALCULATES</t>
  </si>
  <si>
    <t>2.2 The five evidence layers 8</t>
  </si>
  <si>
    <t>The 407 cleaned service-location records filed by fifteen local government units, resolved into three components. Source: EBDM worksheet package, 20260629.</t>
  </si>
  <si>
    <t>2.4</t>
  </si>
  <si>
    <t>2.3</t>
  </si>
  <si>
    <t>From the Executive Workshop on Evidence-based Decision Making (BRIGHT BARMM)</t>
  </si>
  <si>
    <t>The reconciliation rule</t>
  </si>
  <si>
    <t>Parameter</t>
  </si>
  <si>
    <t>Leading causes of morbidity and mortality, Lanao del Sur</t>
  </si>
  <si>
    <t>2.3 The reconciliation rule 9</t>
  </si>
  <si>
    <t>3.1</t>
  </si>
  <si>
    <t>Value</t>
  </si>
  <si>
    <t>The provincial cause profile</t>
  </si>
  <si>
    <t>Unit</t>
  </si>
  <si>
    <t>Basis</t>
  </si>
  <si>
    <t>What it drives</t>
  </si>
  <si>
    <t>Note. Adapted from World Bank (2019, Table 41, p. 113), reporting Department of Health–ARMM data. Bold entries are non-communicable or trauma causes. No year is stated for the underlying data; the source notes that collection took place during the conflict period, and the profile should be treated as circa 2016–2018.</t>
  </si>
  <si>
    <t>Convention and caveat</t>
  </si>
  <si>
    <t>Catchment standard, population per rural health unit</t>
  </si>
  <si>
    <t>Child deaths in BARMM fall after the first month rather than during it</t>
  </si>
  <si>
    <t>2.4 From the Executive Workshop on Evidence-based Decision Making (BRIGHT BARMM) 9</t>
  </si>
  <si>
    <t>3.2</t>
  </si>
  <si>
    <t>The child-survival signature</t>
  </si>
  <si>
    <t>3 Stage One — The Illness 11</t>
  </si>
  <si>
    <t>Note. Deaths per 1,000 live births. Adapted from Philippine Statistics Authority and ICF (2023, Tables 8.1 and 8.3). The figures are historical 2022 regional estimates: BARMM rates use a ten-year reference period, while national comparators use five years. Under-five mortality was 28 per 1,000. In the published tables, 98 children and 188 births are weighted denominators; 180 children and 345 births are the corresponding unweighted cases. The latest 2025 NDHS key indicators do not provide an updated regional child-mortality series.</t>
  </si>
  <si>
    <t>residents per unit</t>
  </si>
  <si>
    <t>The 1:20,000 planning target applied across all five volumes.</t>
  </si>
  <si>
    <t>The measles chain: a survey finding, an outbreak, and thirteen deaths</t>
  </si>
  <si>
    <t>Implied rural health units and the shortfall on 10_Municipal_Master, 11_Jurisdiction_Rollup and 16_RHU_Standard_and_Coverage.</t>
  </si>
  <si>
    <t>3.1 The provincial cause profile 11</t>
  </si>
  <si>
    <t>The regional volume is explicit that 1:20,000 is a planning target for catchment, not a licensing standard for facilities. It does not by itself justify construction.</t>
  </si>
  <si>
    <t>3.4</t>
  </si>
  <si>
    <t>The 2023–2024 measles outbreak</t>
  </si>
  <si>
    <t>Rounding convention for implied units</t>
  </si>
  <si>
    <t>ROUND (nearest)</t>
  </si>
  <si>
    <t>3.2 The child-survival signature 12</t>
  </si>
  <si>
    <t>convention</t>
  </si>
  <si>
    <t>Note. Adapted from Philippine Statistics Authority and ICF (2023, Table 10.4.2); Department of Health (n.d.-a); UNICEF Philippines (2024); and Bangsamoro Information Office (2024). The Provincial Health Officer II of Lanao del Sur is quoted attributing the outbreak to “the decline of our immunization rate here in Lanao del Sur” (Bangsamoro Information Office, 2024). The Regional Darul Ifta’ issued a fatwa declaring the vaccines halal — a documented and replicable demand-side intervention.</t>
  </si>
  <si>
    <t>Inferred from the source volumes by reconciliation, not stated in them.</t>
  </si>
  <si>
    <t>3.3</t>
  </si>
  <si>
    <t>The implied-units column on the same three sheets.</t>
  </si>
  <si>
    <t>What can and cannot be said at municipal level</t>
  </si>
  <si>
    <t>Reconciled against Regional Table 4: nearest-integer rounding reproduces 68 / 37 / 41 / 11 exactly, summing to 157. Rounding up would give 69 / 38 / 41 / 11 and a regional 159. Both are computed side by side; the nearest-integer column is the one that reconciles to the reports.</t>
  </si>
  <si>
    <t>Facility counts and travel times answer different questions, and the province needs both. A registration is not a building, a building within reach is not an open service, and an open service is not necessarily ready to treat the patient in front of it. The multimodal accessibility model of 8 August 2026 separates these questions for the first time. Its central result is that physical proximity is not, on the assumptions used, the constraint that binds for most of Lanao del Sur. Section 4.3 sets out a consistency test that qualifies how far that result can be carried.</t>
  </si>
  <si>
    <t>3.3 What can and cannot be said at municipal level 13</t>
  </si>
  <si>
    <t>Bed-rate denominator</t>
  </si>
  <si>
    <t>Primary-Care Access: physical, effective and registered</t>
  </si>
  <si>
    <t>4.0</t>
  </si>
  <si>
    <t>Physical and effective access: what the model establishes</t>
  </si>
  <si>
    <t>residents</t>
  </si>
  <si>
    <t>Standard beds-per-1,000 expression used by the volumes.</t>
  </si>
  <si>
    <t>3.4 The 2023–2024 measles outbreak 15</t>
  </si>
  <si>
    <t>Beds per 1,000 on 10_Municipal_Master and 14_Inpatient_Capacity.</t>
  </si>
  <si>
    <t>3.5</t>
  </si>
  <si>
    <t>The non-communicable disease service gap</t>
  </si>
  <si>
    <t>Note. Adapted from the Lanao del Sur multimodal and effective primary-care accessibility model (International Organization for Migration, 2026b). Population uses the GeoRisk/PSA 2020 modeled base of 1,195,518 across 1,159 demand nodes against 184 barangay health station and rural health unit supply points. The supply set requires reconciliation: the project-held facility register carries 128 barangay health stations and 44 rural health units, or 172 supply points, and the derivation of the further 12 used by the model is not documented in the material reviewed. The 2024 equivalent of the physical gap is 132,217 by proportional scaling to 1,368,137; it is not a barangay-level 2024 measurement.</t>
  </si>
  <si>
    <t>Population base year</t>
  </si>
  <si>
    <t>3.5 The non-communicable disease service gap 16</t>
  </si>
  <si>
    <t>TABLE A</t>
  </si>
  <si>
    <t>The modeled gap does not vary with facility supply</t>
  </si>
  <si>
    <t>year</t>
  </si>
  <si>
    <t>Philippine Statistics Authority 2024 Census of Population, reference date 1 July 2024.</t>
  </si>
  <si>
    <t>4.3</t>
  </si>
  <si>
    <t>Every per-capita measure in the workbook.</t>
  </si>
  <si>
    <t>A consistency test of the modeled result</t>
  </si>
  <si>
    <t>4 Primary-Care Access: physical, effective and registered 17</t>
  </si>
  <si>
    <t>Facility and service data are of mixed vintage; per-capita rates therefore mix a 2024 denominator with numerators of 2018 to 2026 vintage.</t>
  </si>
  <si>
    <t>Note. Computed for this report across all 40 local government units, from the central 30-minute multimodal scenario (International Organization for Migration, 2026b) against the project-held facility register and the DOH GIDA barangay register (Department of Health, 2022). A facility-driven access result would show a positive association with barangays per supply point; the observed association is negative on both measures. The strongest association in the set is with geographic isolation.</t>
  </si>
  <si>
    <t>4.0 Physical and effective access: what the model establishes 17</t>
  </si>
  <si>
    <t>Physical reach is a necessary condition, not a sufficient one. The model applies a readiness credit to a supply point only where the workshop record provides a direct municipality-and-barangay match and at least half of the planned readiness dimensions were observed — service inventory, workforce, equipment, cold chain, PhilHealth status and referral turnaround. Fifty-nine supply points have a direct match; fifty-seven meet the credit threshold.</t>
  </si>
  <si>
    <t>4.1</t>
  </si>
  <si>
    <t>The physical-access result is assumption-sensitive</t>
  </si>
  <si>
    <t>4.4</t>
  </si>
  <si>
    <t>Effective access, and the population the province cannot yet assess</t>
  </si>
  <si>
    <t>4.1 The physical-access result is assumption-sensitive 17</t>
  </si>
  <si>
    <t>4.2</t>
  </si>
  <si>
    <t>Where the physical gap is</t>
  </si>
  <si>
    <t>Note. Adapted from International Organization for Migration (2026b). Municipality profiles inform prioritization but do not impute facility-level credit.</t>
  </si>
  <si>
    <t>4.2 Where the physical gap is 18</t>
  </si>
  <si>
    <t>## 4.5 What the model assumes, and what it cannot see</t>
  </si>
  <si>
    <t>4.5</t>
  </si>
  <si>
    <t>What the model assumes, and what it cannot see</t>
  </si>
  <si>
    <t>4.3 A consistency test of the modeled result 20</t>
  </si>
  <si>
    <t>Note. Adapted from International Organization for Migration (2026b). Model outputs are planning estimates and screening signals. They identify where verification and investment must begin; they do not authorize capital construction.</t>
  </si>
  <si>
    <t>4.4 Effective access, and the population the province cannot yet assess 22</t>
  </si>
  <si>
    <t>Section 17 of the Local Government Code devolves primary health care to the municipality, and national facility planning carries an expectation of one barangay health station per barangay. The PHFDP 2020 baseline measured the then-ARMM/BARMM footprint at 650 stations against 2,535 barangays, a ratio of 0.3 and a historical gap of 1,885 stations (Department of Health, 2020b, Table 6). This is a dated planning baseline, not the current 2026 regional denominator. On current PSA geography Lanao del Sur has 1,164 barangays; the project-held register matches 128 stations, subject to reconciliation.</t>
  </si>
  <si>
    <t>Province / area</t>
  </si>
  <si>
    <t>4.6</t>
  </si>
  <si>
    <t>The facility stock</t>
  </si>
  <si>
    <t>Local government unit</t>
  </si>
  <si>
    <t>4.5 What the model assumes, and what it cannot see 22</t>
  </si>
  <si>
    <t>Row type</t>
  </si>
  <si>
    <t>Source locator</t>
  </si>
  <si>
    <t>Population 2024</t>
  </si>
  <si>
    <t>4.6 The facility stock 23</t>
  </si>
  <si>
    <t>Barangays (as annexed)</t>
  </si>
  <si>
    <t>4.7</t>
  </si>
  <si>
    <t>First-contact infrastructure by municipality, ranked by population</t>
  </si>
  <si>
    <t>Barangays with a first-contact facility (as annexed)</t>
  </si>
  <si>
    <t>Catchment adequacy against the 1:20,000 standard</t>
  </si>
  <si>
    <t>Barangays without a first-contact facility (as annexed)</t>
  </si>
  <si>
    <t>4.7 Catchment adequacy against the 1:20,000 standard 23</t>
  </si>
  <si>
    <t>Rural health units (as annexed)</t>
  </si>
  <si>
    <t>4.8</t>
  </si>
  <si>
    <t>Barangay health stations</t>
  </si>
  <si>
    <t>Geographic isolation</t>
  </si>
  <si>
    <t>Hospitals</t>
  </si>
  <si>
    <t>4.8 Geographic isolation 25</t>
  </si>
  <si>
    <t>Licensed beds</t>
  </si>
  <si>
    <t>The twelve most isolated municipalities</t>
  </si>
  <si>
    <t>4.9</t>
  </si>
  <si>
    <t>FIC %</t>
  </si>
  <si>
    <t>Maternal and newborn services</t>
  </si>
  <si>
    <t>FBD %</t>
  </si>
  <si>
    <t>4.9 Maternal and newborn services 26</t>
  </si>
  <si>
    <t>TB CNR</t>
  </si>
  <si>
    <t>TB detection %</t>
  </si>
  <si>
    <t>4.10</t>
  </si>
  <si>
    <t>Immunization and the 2023–2024 outbreak</t>
  </si>
  <si>
    <t>PhilPEN %</t>
  </si>
  <si>
    <t>Stunting %</t>
  </si>
  <si>
    <t>5.2</t>
  </si>
  <si>
    <t>The accreditation base</t>
  </si>
  <si>
    <t>4.10 Immunization and the 2023–2024 outbreak 27</t>
  </si>
  <si>
    <t>Population per RHU as printed</t>
  </si>
  <si>
    <t>Note. Adapted from Philippine Health Insurance Corporation (2024), accredited health care institutions by province and type as of 31 July 2024. Counts are of accreditations, not distinct facilities — rural health units and Konsulta providers overlap in reality and are counted separately here. Lanao del Sur holds 24.8 percent of all BARMM accreditations and holds the region’s only Level III accredited hospital outside Cotabato City. The Integrated Provincial Health Office independently reports 36 of its 39 health units (92.3 percent) as YAKAP-accredited, 30 (76 percent) with maternity care and 28 (71 percent) with TB-DOTS (International Organization for Migration, 2026a).</t>
  </si>
  <si>
    <t>LIVE  Population per RHU</t>
  </si>
  <si>
    <t>PhilHealth in Lanao del Sur: 291,084 registered, 6,250 seen</t>
  </si>
  <si>
    <t>5 Stage Three — Payment 28</t>
  </si>
  <si>
    <t>5.3</t>
  </si>
  <si>
    <t>Registration without utilization</t>
  </si>
  <si>
    <t>LIVE  Variance vs printed</t>
  </si>
  <si>
    <t>5.1</t>
  </si>
  <si>
    <t>Universal by law, partial in fact</t>
  </si>
  <si>
    <t>LIVE  RHUs implied at the catchment standard (nearest)</t>
  </si>
  <si>
    <t>5.1 Universal by law, partial in fact 28</t>
  </si>
  <si>
    <t>The eleven licensed hospitals of Lanao del Sur</t>
  </si>
  <si>
    <t>LIVE  RHU shortfall (nearest)</t>
  </si>
  <si>
    <t>6.1</t>
  </si>
  <si>
    <t>LIVE  Above the catchment standard</t>
  </si>
  <si>
    <t>The hospital stock and its geography</t>
  </si>
  <si>
    <t>5.2 The accreditation base 28</t>
  </si>
  <si>
    <t>LIVE  Barangays with a facility</t>
  </si>
  <si>
    <t>LIVE  Barangay coverage share</t>
  </si>
  <si>
    <t>TABLE 6A</t>
  </si>
  <si>
    <t>Licensed bed capacity by facility class and ownership</t>
  </si>
  <si>
    <t>LIVE  Beds per 1,000 residents</t>
  </si>
  <si>
    <t>5.3 Registration without utilization 29</t>
  </si>
  <si>
    <t>Basis and caveat</t>
  </si>
  <si>
    <t>5.4</t>
  </si>
  <si>
    <t>Implications for household financial burden</t>
  </si>
  <si>
    <t>LIVE  RHUs implied (rounded up)</t>
  </si>
  <si>
    <t>LIVE  RHU shortfall (rounded up)</t>
  </si>
  <si>
    <t>5.4 Implications for household financial burden 30</t>
  </si>
  <si>
    <t>Note. Compiled from the project-held DOH/HFSRB facility register against the 2024 census population of 1,368,137 (Philippine Statistics Authority, 2025c). Three of the 43 birthing-home records carry no bed value and 40 of the 44 rural health units carry none, so the total should be read as a floor rather than as a complete inventory. The reports use the acute inpatient basis of 0.75 per 1,000 where a single figure is required, and state the basis wherever a bed ratio appears.</t>
  </si>
  <si>
    <t>Lanao del Sur</t>
  </si>
  <si>
    <t>Marawi City</t>
  </si>
  <si>
    <t>LGU</t>
  </si>
  <si>
    <t>The FHSIS apparatus at municipal level</t>
  </si>
  <si>
    <t>6 Stage Four — Referral 31</t>
  </si>
  <si>
    <t>LDS · ANNEX A · §A · p. 49</t>
  </si>
  <si>
    <t>7.2</t>
  </si>
  <si>
    <t>6.1 The hospital stock and its geography 31</t>
  </si>
  <si>
    <t>6.2</t>
  </si>
  <si>
    <t>Referral concentration and system resilience</t>
  </si>
  <si>
    <t>Note. Adapted from Ministry of Health–Bangsamoro Autonomous Region in Muslim Mindanao (n.d.) — a unit-and-resourcing survey returned by 24 Lanao del Sur local government units and scored for 27, and a reporting-performance assessment covering 33 rural health units — and from the Integrated Provincial Health Office health-systems map in International Organization for Migration (2026a). Two fields in the assessment, the data-quality score and the staffing score, are identical for all 27 Lanao del Sur units and appear to be constants rather than measurements; they are not used in this report.</t>
  </si>
  <si>
    <t>6.2 Referral concentration and system resilience 32</t>
  </si>
  <si>
    <t>Beneath the service statistics lies a measurement constraint that bears on every rate in this document.</t>
  </si>
  <si>
    <t>6.3</t>
  </si>
  <si>
    <t>Referral completion: a priority measurement gap</t>
  </si>
  <si>
    <t>7.3</t>
  </si>
  <si>
    <t>6.3 Referral completion: a priority measurement gap 33</t>
  </si>
  <si>
    <t>6.4</t>
  </si>
  <si>
    <t>The absent catchment map</t>
  </si>
  <si>
    <t>6.4 The absent catchment map 33</t>
  </si>
  <si>
    <t>EXHIBIT 10</t>
  </si>
  <si>
    <t>Jurisdiction</t>
  </si>
  <si>
    <t>7 Stage Five — Follow-Up and the Record 34</t>
  </si>
  <si>
    <t>Report code</t>
  </si>
  <si>
    <t>7.1</t>
  </si>
  <si>
    <t>Continuity after the encounter</t>
  </si>
  <si>
    <t>Note. Sources as cited in Sections 3 to 7. Sample sizes are stated wherever a survey estimate rests on fewer than 250 unweighted cases (Philippine Statistics Authority &amp; ICF, 2023).</t>
  </si>
  <si>
    <t>Population 2024 as printed</t>
  </si>
  <si>
    <t>7.1 Continuity after the encounter 34</t>
  </si>
  <si>
    <t>LIVE  Sum of LGU rows</t>
  </si>
  <si>
    <t>Legal obligations engaged by the findings</t>
  </si>
  <si>
    <t>LIVE  Variance</t>
  </si>
  <si>
    <t>Barangays as printed</t>
  </si>
  <si>
    <t>7.2 The FHSIS apparatus 34</t>
  </si>
  <si>
    <t>RHUs as printed</t>
  </si>
  <si>
    <t>7.3 Civil registration and the invisible denominator 35</t>
  </si>
  <si>
    <t>Note. Statutory titles, numbers and dates were verified against the Official Gazette, the Supreme Court E-Library and the published text of the Bangsamoro Parliament. Two verification caveats are carried: the enactment date of the Bangsamoro Local Governance Code (2023) could not be confirmed from a primary source — parliamentary approval on 28 September 2023 and publication in January 2024 are documented — and the effectivity date of the Local Government Code (1991) was not confirmed from the text retrieved. The substantive provisions of the Bangsamoro Local Governance Code summarized here are drawn from the project’s EBDM module materials and should be read against the published instrument before any ordinance is drafted on their basis.</t>
  </si>
  <si>
    <t>Hospitals as printed</t>
  </si>
  <si>
    <t>EXHIBIT 11</t>
  </si>
  <si>
    <t>Sequencing: what must be true before the next thing can work</t>
  </si>
  <si>
    <t>8 The Reconciliation 36</t>
  </si>
  <si>
    <t>Priorities: sequencing by stage, not by sector</t>
  </si>
  <si>
    <t>LIVE  RHUs implied at 1:20,000 on summed population</t>
  </si>
  <si>
    <t>What the divergence means for allocation</t>
  </si>
  <si>
    <t>RHUs implied as printed (Regional Table 4)</t>
  </si>
  <si>
    <t>LIVE  Shortfall</t>
  </si>
  <si>
    <t>What the divergence means for allocation 36</t>
  </si>
  <si>
    <t>Shortfall as printed (Regional Table 4)</t>
  </si>
  <si>
    <t>Note. Actions 1, 2 and 7 require no capital and can begin immediately; actions 1 and 2 are the substance of the ninety-day program in Section 11. Actions 3 and 4 are low-cost and high-certainty. Actions 5 and 6 are the capital program and are sized in Section 12.</t>
  </si>
  <si>
    <t>Note</t>
  </si>
  <si>
    <t>The validation program</t>
  </si>
  <si>
    <t>9 Governance and Legal Framework 38</t>
  </si>
  <si>
    <t>Sum of LGU rows on 10_Municipal_Master, excluding annexed totals and non-component references</t>
  </si>
  <si>
    <t>Provincial Validation Program</t>
  </si>
  <si>
    <t>10 Priorities: sequencing by stage, not by sector 40</t>
  </si>
  <si>
    <t>Note. Capital funding is not required for any of the outlined initiatives. Tasks 1, 2, and 7 comprise analytical steps; Tasks 3, 4, and 5 deal with administrative implementation; and Task 6 mirrors previous programmatic interventions deployed during the workshop series. Initiation of the broader strategic development plan is contingent upon the successful validation of Tasks 1 and 2.</t>
  </si>
  <si>
    <t>EXHIBIT 12</t>
  </si>
  <si>
    <t>11 Provincial Validation Program 42</t>
  </si>
  <si>
    <t>Volumetrics for the two-year program</t>
  </si>
  <si>
    <t>12.1</t>
  </si>
  <si>
    <t>Volumetrics</t>
  </si>
  <si>
    <t>12 Two-Year Investment Logic, 2026–2028 42</t>
  </si>
  <si>
    <t>12 Two-Year Investment Logic, 2026–2028 43</t>
  </si>
  <si>
    <t>| 305geographically isolatedbarangays |</t>
  </si>
  <si>
    <t>12.1 Volumetrics 43</t>
  </si>
  <si>
    <t>12.2</t>
  </si>
  <si>
    <t>The program</t>
  </si>
  <si>
    <t>Two-year program: volumetrics, sequencing and financing route</t>
  </si>
  <si>
    <t>12.2 The program 43</t>
  </si>
  <si>
    <t>12.3</t>
  </si>
  <si>
    <t>Allocation basis</t>
  </si>
  <si>
    <t>12.3 Allocation basis 44</t>
  </si>
  <si>
    <t>13 Methodology, Evidence Tiers and Limitations 46</t>
  </si>
  <si>
    <t>13.1</t>
  </si>
  <si>
    <t>Evidence tiers</t>
  </si>
  <si>
    <t>Note. Financing routes are named from the sources the local government units themselves cite in their two-year plans (International Organization for Migration, 2026a) and from the standing fiscal instruments established by Mandanas v. Ochoa (2018) and the Local Government Code (1991). Each plan action should be routed through the Local Investment Plan for Health, the Annual Investment Program and Sanggunian appropriation, with a specific appropriation line and amount attached. Eighty percent of actions carrying both is the benchmark proposed for the next review.</t>
  </si>
  <si>
    <t>13.1 Evidence tiers 46</t>
  </si>
  <si>
    <t>13.2</t>
  </si>
  <si>
    <t>Derivations</t>
  </si>
  <si>
    <t>Population values reconcile to the PSA 2024 Census provincial total of 1,368,137. Barangay counts in this annex sum to the 1,159 routeable 2020 model geography and must not be presented as the current administrative total; PSA currently lists 1,164 barangays. Shaded rows identify municipalities with no station matched in the project-held register. Empty cells indicate no reported figure, not zero.</t>
  </si>
  <si>
    <t>Annex A — Municipal master table, 40 local government units</t>
  </si>
  <si>
    <t>13.2 Derivations 46</t>
  </si>
  <si>
    <t>13.3</t>
  </si>
  <si>
    <t>Limitations</t>
  </si>
  <si>
    <t>Note. Column sources. Population and district: Philippine Statistics Authority 2024 Census and PSGC. The annex barangay column preserves the 1,159-node 2020 model geography; current administrative coverage uses 1,164 barangays and requires a five-barangay crosswalk. GIDA is the 2022 source classification. Facilities and beds are derived from the project-held DOH/HFSRB register, which appears incomplete and may understate stations. Scorecard indicators are unweighted municipal values unless stated otherwise; fully immunized child and facility delivery are from 2021 and 2018, respectively, and all others from 2022. Tuberculosis detection is a notification-to-national-incidence proxy, not a subnational incidence estimate. Six municipal immunization values above 100 per cent identify denominator defects.</t>
  </si>
  <si>
    <t>13.3 Limitations 46</t>
  </si>
  <si>
    <t>Modeled physical access on the central 30-minute multimodal scenario, the readiness evidence available for each municipality, and the resulting planning tier. Tiers sequence validation and planning; they do not authorize capital construction. Population is the GeoRisk/PSA 2020 modeled base, which is the base on which the model runs; it is not the 2024 census figure used elsewhere in this report.</t>
  </si>
  <si>
    <t>Annex — Municipality access and evidence tiers</t>
  </si>
  <si>
    <t>— References 47</t>
  </si>
  <si>
    <t>Note. Adapted from International Organization for Migration (2026b). Tier 1 — sixteen municipalities at or above ten percent modeled unserved population: field-validate routes and settlements, then interim outreach and transport, then site-specific capital only where a residual gap survives. Tier 2 — eight municipalities where readiness rather than distance is the constraint: repair, staffing, equipment, cold chain, accreditation, medicines, connectivity and referral before new construction. Tier 3 — sixteen municipalities where the first task is to complete readiness, route and identity evidence and correct registry and source gaps. No municipality currently qualifies for a monitor-and-sustain tier. Four municipalities have no local readiness source of any kind — Butig, Calanogas, Lumbatan and Lumbayanague. Bumbaran is the pre-2019 name of Amai Manabilang and is a single municipality.</t>
  </si>
  <si>
    <t>A Annex A — Municipal master table, 40 local government units 49</t>
  </si>
  <si>
    <t>The following items could not be obtained. Each is recorded with the office from which it should be requested. In a province where no municipality-level health outcome data is available in any public source, the gap register is more appropriately read as a work program for data development.</t>
  </si>
  <si>
    <t>Annex C — Evidence gap register</t>
  </si>
  <si>
    <t>B Annex — Municipality access and evidence tiers 51</t>
  </si>
  <si>
    <t>Barangay figure is the 1,159-node model geography carried by Annex A; the volume also states 1,164 current barangays. Regional Table 4 records 44 units held against 68 implied.</t>
  </si>
  <si>
    <t>C Annex C — Evidence gap register 53</t>
  </si>
  <si>
    <t>Maguindanao del Norte</t>
  </si>
  <si>
    <t>Stage One — The Illness: what the province falls sick and dies of</t>
  </si>
  <si>
    <t>3 Stage One — The Illness: what the province falls sick and dies of 11</t>
  </si>
  <si>
    <t>What can and cannot be said about cause of death in this province</t>
  </si>
  <si>
    <t>What can and cannot be said about cause of death in this province 11</t>
  </si>
  <si>
    <t>The non-communicable disease profile, and the readiness that is not used</t>
  </si>
  <si>
    <t>| 741,428residents in the twelvemunicipalities, 2024 Census | | 221barangays | | 178registered barangayhealth stations | | 12rural health units |</t>
  </si>
  <si>
    <t>The non-communicable disease profile, and the readiness that is not used 11</t>
  </si>
  <si>
    <t>The child-survival signature 13</t>
  </si>
  <si>
    <t>Barangay column preserves the 1,159-node 2020 model geography; current administrative coverage is 1,164 barangays and a five-barangay crosswalk is outstanding. 'Without a facility' = barangays with no matched registered health station. No bed column is carried in this annex.</t>
  </si>
  <si>
    <t>The municipal evidence environment</t>
  </si>
  <si>
    <t>The municipal evidence environment 13</t>
  </si>
  <si>
    <t>Seven findings</t>
  </si>
  <si>
    <t>The 2024 measles outbreak and what it arbitrates</t>
  </si>
  <si>
    <t>The 2024 measles outbreak and what it arbitrates 14</t>
  </si>
  <si>
    <t>Note. Each claim is evidenced in the section indicated. Adapted from Philippine Statistics Authority (2025c); Philippine Statistics Authority and ICF (2023); Department of Health (n.d.-a, 2026); Philippine Health Insurance Corporation (2024); World Bank (2020); Ministry of Health–BARMM (2025); and International Organization for Migration (2026).</t>
  </si>
  <si>
    <t>Stage Two — First Contact: where the patient presents</t>
  </si>
  <si>
    <t>4 Stage Two — First Contact: where the patient presents 16</t>
  </si>
  <si>
    <t>The denominator: 221 barangays, 178 registered stations</t>
  </si>
  <si>
    <t>The denominator: 221 barangays, 178 registered stations 16</t>
  </si>
  <si>
    <t>Twelve component municipalities only; Cotabato City is excluded from the provincial total by the volume's own correction (§4A). Annex A carries 12 RHUs; the hospital count in Regional Table 7 is 4.</t>
  </si>
  <si>
    <t>The rural health unit against the 1:20,000 standard</t>
  </si>
  <si>
    <t>Maguindanao del Sur</t>
  </si>
  <si>
    <t>The rural health unit against the 1:20,000 standard 17</t>
  </si>
  <si>
    <t>Where the local record and the national registry agree</t>
  </si>
  <si>
    <t>Where the local record and the national registry agree 18</t>
  </si>
  <si>
    <t>Malabang</t>
  </si>
  <si>
    <t>Cold chain, self-help stations and the unreported field</t>
  </si>
  <si>
    <t>2.1</t>
  </si>
  <si>
    <t>Cold chain, self-help stations and the unreported field 19</t>
  </si>
  <si>
    <t>Childbirth: the twenty-point gap and the eighteen-point municipality</t>
  </si>
  <si>
    <t>Childbirth: the twenty-point gap and the eighteen-point municipality 19</t>
  </si>
  <si>
    <t>4A</t>
  </si>
  <si>
    <t>The Cotabato City correction</t>
  </si>
  <si>
    <t>## 2.3 What the workshop record establishes, and what it cannot carry</t>
  </si>
  <si>
    <t>4A The Cotabato City correction 21</t>
  </si>
  <si>
    <t>Stage Three — Payment: whether care is free at the point of use</t>
  </si>
  <si>
    <t>What the workshop record establishes, and what it cannot carry</t>
  </si>
  <si>
    <t>5 Stage Three — Payment: whether care is free at the point of use 22</t>
  </si>
  <si>
    <t>Universal by law, partial in fact 22</t>
  </si>
  <si>
    <t>The accreditation base 22</t>
  </si>
  <si>
    <t>The conversion rate the province cannot compute</t>
  </si>
  <si>
    <t>The conversion rate the province cannot compute 23</t>
  </si>
  <si>
    <t>Note. Compiled for this report. This table is the substitute for the leading-cause table that a provincial diagnostic would ordinarily open with, and its purpose is to prevent that table from being invented. The corresponding evidence requests are itemised in Annex C, items 1 to 4.</t>
  </si>
  <si>
    <t>What the province forgoes</t>
  </si>
  <si>
    <t>Twenty-four municipalities. Annex A hospital column counts hospitals only; six infirmaries are carried separately.</t>
  </si>
  <si>
    <t>Special Geographic Area</t>
  </si>
  <si>
    <t>Adults risk-assessed under PhilPEN, by municipality</t>
  </si>
  <si>
    <t>What the province forgoes 24</t>
  </si>
  <si>
    <t>Stage Four — Referral: where the patient goes when the health unit cannot cope</t>
  </si>
  <si>
    <t>6 Stage Four — Referral: where the patient goes when the health unit cannot cope 25</t>
  </si>
  <si>
    <t>The hospital stock and who owns it</t>
  </si>
  <si>
    <t>Note. Derived from Department of Health (n.d.-a), 2022 indicator year, twelve municipalities of Maguindanao del Norte. The provincial figure quoted in text is the unweighted mean of the twelve municipal values (2.47 per cent); the scorecard supplies no population weights. Municipalities shown in accent record coverage below one per cent. The City of Cotabato, not shown, records 6.45 per cent. The Lanao del Sur comparator is the corresponding provincial figure from the same dataset. The complement is the operative figure: on these returns, roughly ninety-seven and a half per cent of adults in this province have never been screened for the conditions that are its leading reported cause of death.</t>
  </si>
  <si>
    <t>The hospital stock and who owns it 25</t>
  </si>
  <si>
    <t>Maguindanao had the best facility readiness in BARMM and the worst vaccination history</t>
  </si>
  <si>
    <t>Eight municipalities with no inpatient bed</t>
  </si>
  <si>
    <t>Eight municipalities with no inpatient bed 26</t>
  </si>
  <si>
    <t>Diagnostics: eleven municipalities, no laboratory</t>
  </si>
  <si>
    <t>Diagnostics: eleven municipalities, no laboratory 26</t>
  </si>
  <si>
    <t>Tuberculosis notification against expected incidence, by municipality</t>
  </si>
  <si>
    <t>Referral completion and the absent catchment map</t>
  </si>
  <si>
    <t>Referral completion and the absent catchment map 27</t>
  </si>
  <si>
    <t>Stage Five — Follow-Up and the Record: whether the system knows what happened</t>
  </si>
  <si>
    <t>7 Stage Five — Follow-Up and the Record: whether the system knows what happened 28</t>
  </si>
  <si>
    <t>Note. Derived. Notified cases apply the municipal tuberculosis case notification rate (Department of Health, n.d.-a, 2022 indicator year) to the 2024 census population (Philippine Statistics Authority, 2025c); expected incident cases apply the WHO-estimated Philippine incidence of 625 per 100,000 (World Health Organization, 2025) to the same population. Provincial aggregate: approximately 1,285 notified against approximately 4,634 expected, a detection ratio of 27.7 per cent. Three cautions attach. A national incidence rate applied to a provincial population establishes order of magnitude only, and the WHO estimate carries a 95 per cent uncertainty interval of 344 to 1,020 per 100,000. A 2022 notification rate is applied to a 2024 population. And the municipal spread of 70.3 to 303.6 per 100,000 — a fourfold range, against the eighteenfold range recorded in Lanao del Sur — is narrow enough that it measures case-finding effort rather than disease distribution. The City of Cotabato, not shown, notifies at 714.6 per 100,000, more than twice the highest municipal rate; that is an attribution artefact of city facilities notifying cases resident elsewhere and is a reason not to fold the city into provincial tuberculosis planning.</t>
  </si>
  <si>
    <t>Continuity after the encounter 28</t>
  </si>
  <si>
    <t>Section 17(b)(1)(ii) of the Local Government Code of 1991 assigns the maintenance of the barangay health centre to the barangay, and Section 17(b)(2)(iii) assigns primary health care, maternal and child care and communicable and non-communicable disease control to the municipality. The national planning benchmark applied to that assignment is one barangay health station per barangay and one rural health unit per 20,000 population (World Bank, 2020, p. 130).</t>
  </si>
  <si>
    <t>The FHSIS apparatus: the region’s strongest, and what that means</t>
  </si>
  <si>
    <t>The FHSIS apparatus: the region’s strongest, and what that means 28</t>
  </si>
  <si>
    <t>Civil registration and the invisible denominator 29</t>
  </si>
  <si>
    <t>Rural health units on the register basis (9). On the operating basis the area holds 6 and the shortfall is 5. No hospital or infirmary of any class exists in the area.</t>
  </si>
  <si>
    <t>The Reconciliation: where the administrative record and independent measurement diverge</t>
  </si>
  <si>
    <t>Wao</t>
  </si>
  <si>
    <t>Forty-six of 221 barangays have no registered health station</t>
  </si>
  <si>
    <t>FOUR JURISDICTIONS</t>
  </si>
  <si>
    <t>Sum of the four jurisdiction rows above</t>
  </si>
  <si>
    <t>8 The Reconciliation: where the administrative record and independent measurement diverge 30</t>
  </si>
  <si>
    <t>9 Governance and Legal Framework 32</t>
  </si>
  <si>
    <t>Note. Derived. Barangay counts from the Philippine Standard Geographic Code (Philippine Statistics Authority, 2025b); station counts and their barangay assignment from the project-held DOH/NHFR facility extract (Department of Health, 2026). Three same-barangay station pairs within the twelve municipalities were resolved to single barangays before counting — in Parang, Barira and Kabuntalan — including Parang’s “CABUAN” and “KABUAN” records, which are almost certainly one facility recorded twice. Three further pairs sit in the City of Cotabato and are outside the provincial count. Registry incompleteness is disclosed and is material in the other direction as well: the workshop record maps 207 service locations across the same twelve municipalities against 224 registry records, so the true station count is a floor rather than a complete inventory. The City of Cotabato, not shown, records thirty-nine stations across thirty-six of its thirty-seven barangays.</t>
  </si>
  <si>
    <t>10 Priorities: sequencing by stage, not by sector 34</t>
  </si>
  <si>
    <t>Ninety-Day Provincial Validation Program</t>
  </si>
  <si>
    <t>11 Ninety-Day Provincial Validation Program 35</t>
  </si>
  <si>
    <t>12 Two-Year Investment Logic, 2026–2028 36</t>
  </si>
  <si>
    <t>Note. Population and barangay counts from Philippine Statistics Authority (2025b, 2025c); the twelve municipal values reconcile exactly to 741,428 and to 221 barangays. Facility counts from the project-held DOH/NHFR extract (Department of Health, 2026). No BHS is the barangay count less the count of distinct barangays carrying at least one registered station. Pop/RHU is derived; because every municipality carries exactly one registered unit it equals the municipal population. Labs counts registered clinical, drug-testing and COVID-19 testing laboratories. Shaded rows are the seven municipalities with three or more barangays carrying no registered station; together they account for 40 of the 46. Beds and Labs are printed as zeros because they are measured zeros, not unreported fields.</t>
  </si>
  <si>
    <t>Population per rural health unit against the 1:20,000 standard</t>
  </si>
  <si>
    <t>13 Monitoring Framework 38</t>
  </si>
  <si>
    <t>Regional Annex A states 84 LGUs, 1,735 barangays, 3,137,511 residents, 89 RHUs held against 157 implied and a shortfall of 68, and 21 hospitals. Compare the live sums in this row against those printed figures.</t>
  </si>
  <si>
    <t>REGIONAL ANNEX A AS PRINTED (BARMM · ANNEX A · §A · p. 28)</t>
  </si>
  <si>
    <t>Note. Derived. The 2024 census municipal population (Philippine Statistics Authority, 2025c) divided by the count of registered rural health units (Department of Health, 2026). Because every municipality carries exactly one registered unit, the ratio equals the municipal population. Eleven of twelve municipalities exceed the standard, covering 97.3 per cent of the province; Talitay alone falls within it. Seven municipalities exceed the standard by a factor of two or more, and four by a factor of three or more. Two distinct constraints are visible and require two distinct instruments: in Datu Odin Sinsuat, Sultan Kudarat, Parang and Upi the binding constraint is capacity and the instrument is unit augmentation; in Kabuntalan, Northern Kabuntalan and Talitay the binding constraint is distribution and the instrument is station construction. The City of Cotabato, not shown, carries 383,383 residents against one registered unit, which is on its face implausible and is treated in Section 4A.</t>
  </si>
  <si>
    <t>14 Methodology, Evidence Tiers and Limitations 38</t>
  </si>
  <si>
    <t>Where births actually happen: the administrative record against the survey</t>
  </si>
  <si>
    <t>Annex A — Municipal master table, twelve local government units (landscape)</t>
  </si>
  <si>
    <t>LGUs</t>
  </si>
  <si>
    <t>Barangays</t>
  </si>
  <si>
    <t>Population | 2024</t>
  </si>
  <si>
    <t>A Annex A — Municipal master table, twelve local government units (landscape) 41</t>
  </si>
  <si>
    <t>Registered | facilities</t>
  </si>
  <si>
    <t>RHUs held / | implied</t>
  </si>
  <si>
    <t>Barangays with a | first-contact | facility</t>
  </si>
  <si>
    <t>Hospitals / | LGUs with one</t>
  </si>
  <si>
    <t>Acute | beds</t>
  </si>
  <si>
    <t>Annex B — Municipality evidence tiers and planning sequence (landscape)</t>
  </si>
  <si>
    <t>Beds per | 1,000</t>
  </si>
  <si>
    <t>PhilHealth | accreditations</t>
  </si>
  <si>
    <t>Note. Administrative figures are the twelve-municipality unweighted mean and the municipal extremes from Department of Health (n.d.-a), 2018 indicator year — the last year in which the LGU Health Scorecard carried this indicator. The survey figure is the BARMM regional estimate from Philippine Statistics Authority and ICF (2023), two years preceding the survey, 345 unweighted births. The Matanog figure is that municipality’s own 2025 FHSIS return as transcribed in its Worksheet 2 submission (International Organization for Migration, 2026). The three do not share a denominator and are not alternative estimates of the same quantity; they are printed together because the decision they inform — whether to design for a facility-delivery majority — turns on which is closer to current reality, and the two most recent measurements both say it is not.</t>
  </si>
  <si>
    <t>PhilPEN | %</t>
  </si>
  <si>
    <t>TB det. | %</t>
  </si>
  <si>
    <t>B Annex B — Municipality evidence tiers and planning sequence (landscape) 42</t>
  </si>
  <si>
    <t>FHSIS | (of 50)</t>
  </si>
  <si>
    <t>EBDM | cohort</t>
  </si>
  <si>
    <t>The province with and without the City of Cotabato</t>
  </si>
  <si>
    <t>Referral | completion</t>
  </si>
  <si>
    <t>The Cotabato City Correction</t>
  </si>
  <si>
    <t>1,164 current / 1,159 model</t>
  </si>
  <si>
    <t>44 / 68</t>
  </si>
  <si>
    <t>11 / 7</t>
  </si>
  <si>
    <t>C Annex C — Evidence gap register 43</t>
  </si>
  <si>
    <t>Note. Facility, bed and diagnostic counts from the project-held DOH/NHFR extract (Department of Health, 2026); population and barangays from Philippine Statistics Authority (2025b, 2025c); accreditation from Philippine Health Insurance Corporation (2024), which is the one source in this evidence base that reports the city separately from the province throughout. The bed ratio row is the operative one: on the published provincial geography Maguindanao del Norte records 0.78 beds per 1,000 and appears comparable to Maguindanao del Sur; on the geography it actually governs it records 0.49, below Lanao del Sur and above only Basilan.</t>
  </si>
  <si>
    <t>16 of 40</t>
  </si>
  <si>
    <t>What Cotabato City is worth to the provincial averages</t>
  </si>
  <si>
    <t>— References 43</t>
  </si>
  <si>
    <t>12 / 37</t>
  </si>
  <si>
    <t>4 / 3</t>
  </si>
  <si>
    <t>Lumba-Bayabao</t>
  </si>
  <si>
    <t>12 of 12</t>
  </si>
  <si>
    <t>24 / 41</t>
  </si>
  <si>
    <t>6 / 6</t>
  </si>
  <si>
    <t>21 of 24</t>
  </si>
  <si>
    <t>Note. Adapted from Philippine Health Insurance Corporation (2024), accredited health care institutions by province and type as of 31 July 2024. Counts are of accreditations, not distinct facilities — rural health units and Konsulta providers overlap in reality and are counted separately here. The “other packages and laboratories” row consolidates animal-bite treatment centres, hospital TB-DOTS, HIV hubs, outpatient malaria packages, ambulatory surgical clinics, Z-benefit packages, catastrophic isolation units and RT-PCR laboratory accreditations. Every row and column of the source table reconciles exactly to its printed totals. Cotabato City is reported by PhilHealth as a separate column and is not included in the Maguindanao del Norte figure, which is the correct treatment and the one adopted throughout this report. The thirteen accredited rural health units against twelve registered units is a discrepancy of record and is carried here because it is what the source states; it should be resolved before an accreditation rate is published.</t>
  </si>
  <si>
    <t>9 / 11</t>
  </si>
  <si>
    <t>PhilHealth in Maguindanao del Norte: 312,635 members, 19 Konsulta providers</t>
  </si>
  <si>
    <t>0 / 0</t>
  </si>
  <si>
    <t>Six findings 4</t>
  </si>
  <si>
    <t>n.m.</t>
  </si>
  <si>
    <t>8 of 8</t>
  </si>
  <si>
    <t>Decisions required of provincial leadership 5</t>
  </si>
  <si>
    <t>The twelve licensed hospitals and infirmaries of Maguindanao del Norte</t>
  </si>
  <si>
    <t>89 / 157</t>
  </si>
  <si>
    <t>21 / 16</t>
  </si>
  <si>
    <t>229 of 347</t>
  </si>
  <si>
    <t>≈26–28</t>
  </si>
  <si>
    <t>68 units</t>
  </si>
  <si>
    <t>57 of 84</t>
  </si>
  <si>
    <t>Note. From the project-held DOH/NHFR facility extract (Department of Health, 2026). Service capability is null for all three infirmary records in the source and is reported here by facility class. Two caveats attach to the licence column. First, every licence date in the extract has passed except that of the Cotabato Sanitarium; this is more plausibly interpreted as a stale registry snapshot taken before the 2026 renewal cycle than as a province of unlicensed hospitals, and it must be verified against current DOH-HFSRB records before publication in any external document. It is carried here because it is what the register states. Second, the Datu Blah T. Sinsuat District Hospital is registered in the municipality of Upi, not in the municipality for which it is named; the assignment should be confirmed before the facility is placed on any referral map. Birthing homes add a further 46 beds across the twelve municipalities and are excluded from this table.</t>
  </si>
  <si>
    <t>Fifty-six per cent of the province’s beds sit in a national leprosarium</t>
  </si>
  <si>
    <t>2.1 The program 8</t>
  </si>
  <si>
    <t>Scope: the province, and where its capital is</t>
  </si>
  <si>
    <t>2.2 Scope: the province, and where its capital is 8</t>
  </si>
  <si>
    <t>Marantao</t>
  </si>
  <si>
    <t>2.3 The five evidence layers 9</t>
  </si>
  <si>
    <t>The reconciliation rules</t>
  </si>
  <si>
    <t>2.4 The reconciliation rules 9</t>
  </si>
  <si>
    <t>2.5</t>
  </si>
  <si>
    <t>The provincial evidence product, and why this report does not adopt it</t>
  </si>
  <si>
    <t>2.5 The provincial evidence product, and why this report does not adopt it 10</t>
  </si>
  <si>
    <t>2.6</t>
  </si>
  <si>
    <t>What the workshop record does establish</t>
  </si>
  <si>
    <t>2.6 What the workshop record does establish 11</t>
  </si>
  <si>
    <t>3 Stage One — The Illness 12</t>
  </si>
  <si>
    <t>What can and cannot be stated about disease in this province</t>
  </si>
  <si>
    <t>Note. Licensed hospital and infirmary bed complement from the project-held DOH/NHFR facility extract (Department of Health, 2026); birthing-home beds are excluded. The Cotabato Sanitarium and General Hospital holds 55.6 per cent of the province’s licensed beds. It is a Department of Health–retained institution established as a leprosarium; it is not a provincial or municipal asset and its admission policy is not set by the province. A further 16.7 per cent sits in two Department of National Defense camp hospitals whose access arrangements for civilians are not documented in any source available to this report. The practical consequence is that of 360 beds nominally available to residents of this province, the beds whose use the Bangsamoro Government can direct number twenty-five. Establishing written access arrangements for the remaining 335 — with the Department of Health, the Department of National Defense and the two district hospitals recorded under national-government sub-classification — costs nothing and is Task 4 of Section 11.</t>
  </si>
  <si>
    <t>3.1 What can and cannot be stated about disease in this province 12</t>
  </si>
  <si>
    <t>What the municipal record can and cannot carry</t>
  </si>
  <si>
    <t>3.3 What the municipal record can and cannot carry 13</t>
  </si>
  <si>
    <t>The measles outbreak, and what this province can and cannot claim from it</t>
  </si>
  <si>
    <t>Note. Adapted from Ministry of Health–Bangsamoro Autonomous Region in Muslim Mindanao (2025), rural health unit assessment, fieldwork 26 November to 17 December 2025, 68 units across four BARMM areas. Denominators are eleven of twelve municipalities; Sultan Mastura’s submission exists in the raw export but its municipality field records “Sultan Kudarat (Nuling)” while its unit name records “Sultan Mastura,” and it was dropped as a duplicate. Two scored fields — the staffing score and the data-quality score — take an identical value for all 68 units in the region and are constants rather than measurements; they are reported here as the systemic findings they are and are not used in any comparison. Northern Kabuntalan’s blank timeliness and indicator fields are scored as “no report” in the source pivots, which converts a non-response into a zero; its resulting score of 0.30 is a reporting artefact and is not treated as a performance finding.</t>
  </si>
  <si>
    <t>3.4 The measles outbreak, and what this province can and cannot claim from it 14</t>
  </si>
  <si>
    <t>## 7.3 Civil registration and the invisible denominator</t>
  </si>
  <si>
    <t>The commodity field, and the non-communicable disease loop</t>
  </si>
  <si>
    <t>3.5 The commodity field, and the non-communicable disease loop 15</t>
  </si>
  <si>
    <t>4 Stage Two — First Contact 16</t>
  </si>
  <si>
    <t>4.1 The facility stock 16</t>
  </si>
  <si>
    <t>Where first contact is constrained</t>
  </si>
  <si>
    <t>Note. Sources as cited in Sections 3 to 7. Sample sizes are stated wherever a survey estimate rests on fewer than 250 unweighted cases (Philippine Statistics Authority &amp; ICF, 2023). Figures attributed to the 2019 household survey and the 2017 readiness assessment refer to the undivided province of Maguindanao and are so labelled throughout.</t>
  </si>
  <si>
    <t>4.2 Where first contact is constrained 16</t>
  </si>
  <si>
    <t>Piagapo</t>
  </si>
  <si>
    <t>4.3 Catchment adequacy against the 1:20,000 standard 17</t>
  </si>
  <si>
    <t>Note. One correction of record is carried here. Sections 114 to 117 of the Bangsamoro Local Governance Code are the local health boards provisions; the phrase “Special Health Fund” does not appear anywhere in Bangsamoro Autonomy Act No. 49. The Special Health Fund is created by Section 20 of Republic Act No. 11223, a national statute. Any statement attributing the fund to the Bangsamoro Code — including in earlier provincial diagnostics in this series — should be corrected. A second correction concerns the catchment standard. The one-per-20,000 ratio in the DOH Manual of Standards for Primary Care Facilities is a physician staffing ratio drawn from the National Objectives for Health 2017–2022. Neither RA 7160 nor RA 11223 contains a facility-count standard, and neither should be cited for one; the facility target used in Section 4.2 is that stated in World Bank (2020, p. 130).</t>
  </si>
  <si>
    <t>Geographic isolation: the variable this report does not have</t>
  </si>
  <si>
    <t>4.4 Geographic isolation: the variable this report does not have 17</t>
  </si>
  <si>
    <t>4.5 Maternal and newborn services 18</t>
  </si>
  <si>
    <t>Note. Actions 1, 2, 4 and 7 require no capital and can begin immediately; actions 1, 2 and 5 are the substance of the ninety-day programme in Section 11. Action 3 is low-cost and high-certainty and appears already in the improvement plans of five of the twelve municipalities. Action 6 is the capital programme and is sized in Section 12. The ordering is by dependency, not by importance: action 6 is the largest and most visible, and it is sixth because the register that would site it and the readiness evidence that would specify it do not yet exist.</t>
  </si>
  <si>
    <t>Immunization</t>
  </si>
  <si>
    <t>The ninety-day validation program</t>
  </si>
  <si>
    <t>4.6 Immunization 19</t>
  </si>
  <si>
    <t>Note. Capital funding is not required for any of the outlined tasks. Tasks 1, 2, 6 and 7 are analytical; Tasks 4 and 5 are administrative; Task 3 is a field exercise mirroring the enumeration already conducted during the workshop series. Initiation of the capital component of the two-year programme in Section 12 is contingent on the completion of Tasks 1 and 3, which together establish which of the 46 unserved barangays require construction and which require rehabilitation of an existing self-help structure.</t>
  </si>
  <si>
    <t>5 Stage Three — Payment 20</t>
  </si>
  <si>
    <t>EXHIBIT 13</t>
  </si>
  <si>
    <t>5.1 Universal by law, partial in fact 20</t>
  </si>
  <si>
    <t>The accreditation base is the largest in the Bangsamoro</t>
  </si>
  <si>
    <t>5.2 The accreditation base is the largest in the Bangsamoro 20</t>
  </si>
  <si>
    <t>The measurement this province does not have</t>
  </si>
  <si>
    <t>5.3 The measurement this province does not have 21</t>
  </si>
  <si>
    <t>Revenue the province cannot yet measure</t>
  </si>
  <si>
    <t>Note. Financing routes are named from the sources the municipalities themselves cite in their two-year plans (International Organization for Migration, 2026) and from the standing fiscal instruments established by Mandanas v. Ochoa (2018), the Local Government Code (1991) and the Bangsamoro Organic Law’s Special Development Fund. Each plan action should be routed through the Local Investment Plan for Health, the Annual Investment Program and Sanggunian appropriation, with a specific appropriation line and amount attached. Eighty per cent of actions carrying both a named appropriation line and an amount is the benchmark proposed for the next review; the current provincial position is that no plan action in the entire evidence base carries a peso figure.</t>
  </si>
  <si>
    <t>5.4 Revenue the province cannot yet measure 22</t>
  </si>
  <si>
    <t>5.5</t>
  </si>
  <si>
    <t>Provincial monitoring indicators</t>
  </si>
  <si>
    <t>5.5 Implications for household financial burden 23</t>
  </si>
  <si>
    <t>Note. Baselines are as established in Sections 3 to 7 of this report and inherit the qualifications stated there. Six of the fifteen indicators have no present measured value. That is the intended design: an indicator whose first result is a baseline is more useful than an indicator whose baseline is an artefact. Targets are proposed for discussion by the Provincial Health Board and are not commitments of the Ministry, the programme or its partners. No target is proposed for any indicator whose measurement depends on a data request that has not yet been granted, other than that the request be granted and the measurement begin.</t>
  </si>
  <si>
    <t>6 Stage Four — Referral 24</t>
  </si>
  <si>
    <t>Balindong</t>
  </si>
  <si>
    <t>All figures from official sources. Population and barangay counts reconcile exactly to the PSA 2024 Census provincial total of 1,124,811 less the City of Cotabato’s 383,383, and to 221 barangays. The City of Cotabato is printed below the provincial row and is excluded from every provincial total in this report. Shaded rows are the eight municipalities with no inpatient bed of any class. An em-dash in the Beds and Diag columns is a measured zero; an em-dash in the glyph columns indicates no reported figure.</t>
  </si>
  <si>
    <t>6.1 The hospital stock and its geography 24</t>
  </si>
  <si>
    <t>Annex A — Municipal master table, twelve local government units</t>
  </si>
  <si>
    <t>Concentration, and one expired licence</t>
  </si>
  <si>
    <t>6.2 Concentration, and one expired licence 25</t>
  </si>
  <si>
    <t>Referral completion: a measurement gap rather than a service finding</t>
  </si>
  <si>
    <t>Note. Column sources. Pop 2024, Brgys — Philippine Statistics Authority (2025b, 2025c); the twelve municipal values reconcile exactly to 741,428 and to 221 barangays. RHU, BHS, No BHS, Hosp, Beds, Diag — project-held DOH/NHFR facility extract (Department of Health, 2026); the register is incomplete, licensing status is null for three-quarters of records, and eleven rural health unit birthing annexes are typed as independent facilities; these counts are a floor. No BHS is the barangay count less the count of distinct barangays carrying at least one registered station. Pop/RHU is derived; because every municipality carries exactly one registered unit, it equals the municipal population. FIC, FBD, TB CNR, PEN, Stunt, Water, LHB, ESU, DRR — Department of Health (n.d.-a); indicator years differ by column: facility-based delivery is the 2018 indicator year, the last in which the scorecard carried it, and all others are the 2022 indicator year. TB det % is derived as the notification rate divided by the WHO-estimated Philippine incidence of 625 per 100,000 (World Health Organization, 2025). LHB, ESU, DRR are binary scorecard flags rendered ● = yes, ○ = no, — = not reported; the PROVINCE row renders them as fractions. EBDM records participation in the 2026 workshop cycle; all twelve municipalities participated, the only complete provincial cohort in the programme. There is no GIDA column. No geographically isolated and disadvantaged area determination for this province could be obtained from the Department of Health or MOH-BARMM; the gap is recorded as item 5 of Annex C and is not estimated. No municipality in this province reports immunization coverage above 100 per cent, which distinguishes it from its neighbours and indicates that its denominators are internally plausible even where its levels are contested.</t>
  </si>
  <si>
    <t>6.3 Referral completion: a measurement gap rather than a service finding 26</t>
  </si>
  <si>
    <t>The readiness evidence available for each municipality and the resulting planning tier. Tiers sequence validation and planning; they do not authorise capital construction. Population is the PSA 2024 Census. The tier assignment rests on three official-source variables — unserved barangays, catchment excess above the 20,000 planning standard, and the absence of inpatient and diagnostic capacity — and on none of the derived scores in the workshop record.</t>
  </si>
  <si>
    <t>Annex B — Municipality evidence tiers and planning sequence</t>
  </si>
  <si>
    <t>6.4 The absent catchment map 26</t>
  </si>
  <si>
    <t>Note. Derived for this report from Philippine Statistics Authority (2025b, 2025c), the project-held DOH/NHFR facility extract (Department of Health, 2026), Ministry of Health–BARMM (2025) and International Organization for Migration (2026). Tier 1 — access and capacity: nine municipalities carrying three or more unserved barangays or a population above 100,000. Field-validate the unserved barangays, then station construction and rural health unit augmentation. Tier 2 — readiness: three municipalities — Barira, Matanog and Sultan Mastura — where the station network is substantially complete but the municipality holds no bed and no laboratory; the constraint is referral and readiness rather than first contact, and the instruments are the service-delivery network document and the cold-chain condition survey. No municipality in this province qualifies for a verification tier on the strength of a completed evidence base, and none qualifies for a monitor-and-sustain tier. Three municipalities carry an incomplete evidence position: Northern Kabuntalan filed only a facility inventory and is absent from the consolidated dashboard; Sultan Mastura is missing from every FHSIS pivot because its record is mis-keyed; and Parang filed a facility inventory resolving to a single municipality-wide record. Their apparent positions in any derived scoring are artefacts of reporting and are not treated as performance findings.</t>
  </si>
  <si>
    <t>7 Stage Five — Follow-Up and the Record 27</t>
  </si>
  <si>
    <t>The following items could not be obtained. Each is recorded with the office from which it should be requested. In a province created in 2022 and not yet carried as a separate reporting unit in most national datasets, the gap register is more appropriately read as a work programme for data development than as a list of omissions.</t>
  </si>
  <si>
    <t>7.1 Continuity after the encounter 27</t>
  </si>
  <si>
    <t>7.2 The FHSIS apparatus 27</t>
  </si>
  <si>
    <t>7.3 Civil registration and the invisible denominator 28</t>
  </si>
  <si>
    <t>PHILHEALTH-ACCREDITED HEALTH CARE INSTITUTIONS, BARMM BY PROVINCE — AS CARRIED BY EACH OF THE FIVE REPORTS</t>
  </si>
  <si>
    <t>Source for every block: Philippine Health Insurance Corporation returns to IOM, 31 July 2024. Green cells recompute the row total across the province columns and the column total across accreditation classes, and report the variance against the figure printed in that report.</t>
  </si>
  <si>
    <t>8 The Reconciliation 29</t>
  </si>
  <si>
    <t>| 813,243residents, 2024 Census | 287barangays | 222registered health facilities | 24rural health units — one per municipality |</t>
  </si>
  <si>
    <t>SOURCE  ▸  BARMM · TABLE 5 · §6 · p. 18</t>
  </si>
  <si>
    <t>What the divergence means for allocation 29</t>
  </si>
  <si>
    <t>The five stages, and what needs to be checked at each one</t>
  </si>
  <si>
    <t>9 Governance and Legal Framework 31</t>
  </si>
  <si>
    <t>Note. Each claim is evidenced in the section indicated. Compiled from Philippine Statistics Authority (2025a, 2025b); Philippine Statistics Authority and ICF (2023); Department of Health (n.d.); Philippine Health Insurance Corporation (2024); World Bank (2020); Ministry of Health–BARMM (n.d.); and International Organization for Migration (2026).</t>
  </si>
  <si>
    <t>10 Priorities: sequencing by stage, not by sector 33</t>
  </si>
  <si>
    <t>Participation in the Maguindanao del Sur cycle</t>
  </si>
  <si>
    <t>Provincial Validation Programme</t>
  </si>
  <si>
    <t>TITLE AS PRINTED  ▸  PhilHealth-accredited health care institutions, BARMM by province</t>
  </si>
  <si>
    <t>11 Provincial Validation Programme 34</t>
  </si>
  <si>
    <t>Note. Filing status is taken from the 22 files in the programme's Maguindanao del Sur worksheet folder (21 LGU workbooks and one template). Population and barangay counts are PSA 2024 Census and PSGC. Participation in this province is the second-highest in the programme after Maguindanao del Norte (12 of 12) and far above Lanao del Sur (16 of 40). The three non-filers are not marginal units: Gen. S.K. Pendatun holds the province's largest registered facility network (26) and complete barangay coverage; South Upi holds the province's second-largest population and a 25-bed municipal hospital.</t>
  </si>
  <si>
    <t>12 Two-Year Investment Logic, 2026–2028 35</t>
  </si>
  <si>
    <t>12.1 Volumetrics 35</t>
  </si>
  <si>
    <t>Accreditation class</t>
  </si>
  <si>
    <t>Two artefacts, one province</t>
  </si>
  <si>
    <t>12.2 The programme 35</t>
  </si>
  <si>
    <t>Basilan</t>
  </si>
  <si>
    <t>Sulu</t>
  </si>
  <si>
    <t>Tawi-Tawi</t>
  </si>
  <si>
    <t>Cotabato City</t>
  </si>
  <si>
    <t>LIVE  Sum of province columns</t>
  </si>
  <si>
    <t>12.3 Allocation basis 36</t>
  </si>
  <si>
    <t>LIVE  Variance vs printed total</t>
  </si>
  <si>
    <t>Twenty-one municipalities filed. Read as testimony rather than as arithmetic, that record is the only available source located for conditions at the point of service in this province, and several of its statements are specific, checkable and consistent with the official evidence.</t>
  </si>
  <si>
    <t>13 Methodology, Evidence Tiers and Limitations 38</t>
  </si>
  <si>
    <t>Maguing</t>
  </si>
  <si>
    <t>13.1 Evidence tiers 38</t>
  </si>
  <si>
    <t>What can and cannot be stated about the provincial disease profile</t>
  </si>
  <si>
    <t>13.2 Derivations 38</t>
  </si>
  <si>
    <t>13.3 Limitations 38</t>
  </si>
  <si>
    <t>Note. A ranked cause table for a neighbouring province in this series was attributed to "World Bank 2020, Table 41, p. 113." That table does not exist: the string "Table 41" does not occur in the World Bank report, which numbers tables by chapter, and printed page 113 carries Table 5.22 on reasons for incomplete vaccination. The attribution should be corrected wherever it appears in the series.</t>
  </si>
  <si>
    <t>— of which Level III</t>
  </si>
  <si>
    <t>References 40</t>
  </si>
  <si>
    <t>Annex A — Municipal master table, twenty-four local government units</t>
  </si>
  <si>
    <t>Annex A — Municipal master table, twenty-four local government units 42</t>
  </si>
  <si>
    <t>Annex B — Evidence position by municipality</t>
  </si>
  <si>
    <t>— of which Level II</t>
  </si>
  <si>
    <t>Note. Deaths per 1,000 live births, ten-year rates. Adapted from Philippine Statistics Authority and ICF (2023), Table 8.3, p. 135. Under-five mortality in the 2022 BARMM estimate was 28 per 1,000. Regional rates use a ten-year period and national comparators five years. The figures are historical and cannot, by themselves, establish under-ascertainment or the relative importance of obstetric and post-neonatal constraints. The 2022 survey used the regional frame then in force.</t>
  </si>
  <si>
    <t>Annex B — Evidence position by municipality 44</t>
  </si>
  <si>
    <t>Section 17 of the Local Government Code devolves primary health care to the municipality, and national facility planning carries an expectation of one barangay health station per barangay. The PHFDP 2020 baseline measured the then-ARMM/BARMM footprint at 650 stations against 2,535 barangays, a ratio of 0.3 (Department of Health, 2020b). This is a historical planning baseline, not the current regional denominator. Maguindanao del Sur’s current comparison in this report uses its own PSA barangay count and the project-held station register, subject to reconciliation.</t>
  </si>
  <si>
    <t>Annex C — Evidence gap register 45</t>
  </si>
  <si>
    <t>— of which Level I</t>
  </si>
  <si>
    <t>1 Executive Summary 3</t>
  </si>
  <si>
    <t>The registered facility stock of Maguindanao del Sur</t>
  </si>
  <si>
    <t>— of which primary care facility</t>
  </si>
  <si>
    <t>Programme, Scope, Evidence and Method</t>
  </si>
  <si>
    <t>2 Programme, Scope, Evidence and Method 6</t>
  </si>
  <si>
    <t>Note. Project-held DOH/HFSRB facility register, Maguindanao del Sur extract, 222 records. Bed capacity is populated for all 222 rows. The register carries material metadata gaps: licensing status is null for 151 records and licence validity date for 160; 35 government facilities carry no government sub-classification and 38 of 39 private facilities no private sub-classification; 216 of 222 carry no service-capability value; one record is classified private and simultaneously carries a national-government sub-classification. Null licensing status means "not in the licensing dataset" and cannot be read as unlicensed.</t>
  </si>
  <si>
    <t>Rural health units</t>
  </si>
  <si>
    <t>3 Stage One — The Illness 8</t>
  </si>
  <si>
    <t>Childbirth measured twice</t>
  </si>
  <si>
    <t>4 Stage Two — First Contact 13</t>
  </si>
  <si>
    <t>— with TB-DOTS and maternity care</t>
  </si>
  <si>
    <t>Note. Administrative figures are municipal values from the DOH LGU Health Scorecard; means shown are unweighted unless numerators and denominators are provided. Facility delivery and skilled attendance end in 2018. The 2025 NDHS is the current regional benchmark for facility delivery at 68.6 per cent; the 2022 delivery and attendance values remain historical baselines. The administrative and survey series do not share a denominator, geography, method or year and are not a test of which reporting unit is correct.</t>
  </si>
  <si>
    <t>5 Stage Three — Payment 19</t>
  </si>
  <si>
    <t>Konsulta package providers</t>
  </si>
  <si>
    <t>6 Stage Four — Referral 23</t>
  </si>
  <si>
    <t>Note. Philippine Health Insurance Corporation (2024), accredited health care institutions by province and type as of 31 July 2024. Counts are of accreditations, not distinct facilities — a rural health unit accredited for TB-DOTS, maternity care and Konsulta appears in more than one row. All thirteen row totals and all seven area-column totals reconcile. Maguindanao del Sur holds 26.2 per cent of all BARMM accreditations, the largest single share.</t>
  </si>
  <si>
    <t>7 Stage Five — Follow-Up and the Record 25</t>
  </si>
  <si>
    <t>Konsulta performance, BARMM, 2021 to May 2024</t>
  </si>
  <si>
    <t>Lying-in clinics</t>
  </si>
  <si>
    <t>8 The Reconciliation 27</t>
  </si>
  <si>
    <t>Note. Philippine Health Insurance Corporation (2024); Konsulta registrations 2021 to 27 May 2024, first patient encounters January to May 2024. Conversion is derived and understates the true rate, because the numerator covers five months and the denominator forty-one. The published table contains arithmetic inconsistencies in three columns: the provincial rows sum to 717,318 registrations against a stated total of 714,318 (an excess of exactly 3,000), to 37,951 first encounters against a stated 32,098 (an excess of 5,853, 18 per cent), and to ₱6,253,786 paid against a stated ₱6,253,788. Sulu is additionally recorded as paid more than it generated. Any BARMM Konsulta total quoted from this annex should carry this caveat.</t>
  </si>
  <si>
    <t>Tamparan</t>
  </si>
  <si>
    <t>Dialysis and haemodialysis</t>
  </si>
  <si>
    <t>The six licensed hospitals and six infirmaries of Maguindanao del Sur</t>
  </si>
  <si>
    <t>9 Governance and Legal Framework 29</t>
  </si>
  <si>
    <t>Other packages and laboratories</t>
  </si>
  <si>
    <t>Note. Project-held DOH/HFSRB facility register. All six infirmaries and three of the six hospitals are privately owned; the province's entire non-government acute inpatient capacity — 224 beds, 34.6 per cent of the acute total — sits outside public control and outside any contracting arrangement identified in this report. Amerol Birthing Home in Datu Paglas (6 beds, private) also carries an expired licence date. Nine further licensed facilities carry a null validity date.</t>
  </si>
  <si>
    <t>10 Priorities: sequencing by stage, not by sector 31</t>
  </si>
  <si>
    <t>Licensed bed capacity by class and ownership</t>
  </si>
  <si>
    <t>The Ninety-Day Validation Programme</t>
  </si>
  <si>
    <t>11 The Ninety-Day Validation Programme 33</t>
  </si>
  <si>
    <t>TOTAL ACCREDITATIONS</t>
  </si>
  <si>
    <t>Note. Derived from the project-held facility register against the 2024 census population. This report uses the acute inpatient basis of 0.80 per 1,000 where a single figure is required and states the basis wherever a bed ratio appears.</t>
  </si>
  <si>
    <t>The condition of routine reporting, Maguindanao del Sur against the assessed areas</t>
  </si>
  <si>
    <t>LIVE  Column sum of the top-level accreditation classes</t>
  </si>
  <si>
    <t>Note. Ministry of Health–BARMM FHSIS assessment. The file covers only Lanao del Sur, Maguindanao del Sur, Maguindanao del Norte and the Special Geographic Area; no BARMM-wide comparison is possible from it. Two municipalities have no FHSIS record: Datu Anggal Midtimbang has none, and Mamasapano's unit is filed under Mangudadatu, so provincial coverage is 22 of 24 rather than 24. Item denominators differ from the assessed base: the scored capacity file covers 22 Maguindanao del Sur units while the underlying survey master carries 24 rows for the province, of which 23 and 24 respectively answered the policy-issuance and budget items. Denominators are printed as recorded and should not be read as a single base. Three scoring defects apply to every unit in the region and cap the composite: the FHSIS-unit component is empty for all 68 scored units although every unit answered yes; the dissemination component is empty for all 68; and the data-quality component reads "with issue" for all 68 without exception, carrying no discriminating power.</t>
  </si>
  <si>
    <t>— References 40</t>
  </si>
  <si>
    <t>Note. Sources as cited in §§3 to 7. Sample sizes are stated wherever a survey estimate rests on fewer than 250 unweighted cases. All World Bank figures are undivided-Maguindanao values on 2017 and 2019 fieldwork, used as proxies under the rule at §2.4.</t>
  </si>
  <si>
    <t>Annex A — Municipal master table, eight municipalities</t>
  </si>
  <si>
    <t>A Annex A — Municipal master table, eight municipalities 40</t>
  </si>
  <si>
    <t>Annex B — Municipality structural completion and planning tiers</t>
  </si>
  <si>
    <t>Note. Statutory texts were verified against the published instruments: Republic Act No. 11550 (LawPhil transcription of the Official Gazette text and Supreme Court E-Library), Republic Act No. 11054, Republic Act No. 11223, and the 304-page published text of Bangsamoro Autonomy Act No. 49 (Bangsamoro Parliament, publication of 10 January 2024). Two corrections to citations used elsewhere in this series are carried here. First, the phrase "Special Health Fund" appears zero times in the Bangsamoro Local Governance Code; the Fund is created by Republic Act No. 11223, §20, a national statute, and the correct BARMM authority for provincial health system management is BAA 49, §512(II)(c)(8). Second, the 1:20,000 ratio in the DOH Manual of Standards for Primary Care Facilities is a physician staffing ratio, not a facility-count standard; the facility target used in this report is the one stated in World Bank (2020, p. 130). The implementing rules of BAA 49, required within three months of effectivity, were not obtained.</t>
  </si>
  <si>
    <t>B Annex B — Municipality structural completion and planning tiers 43</t>
  </si>
  <si>
    <t>Sequencing: what should be in place before the next action can work</t>
  </si>
  <si>
    <t>LIVE  Variance against TOTAL ACCREDITATIONS as printed</t>
  </si>
  <si>
    <t>C Annex C — Evidence gap register 44</t>
  </si>
  <si>
    <t>Note. Actions 1, 2, 3, 5 and 7 require no capital and can begin immediately; actions 1, 2 and 3 are the substance of the ninety-day programme in §11. Action 4 is low-cost and high-certainty. Action 6 is the capital programme and is sized in §12.</t>
  </si>
  <si>
    <t>Masiu</t>
  </si>
  <si>
    <t>TABLE 13</t>
  </si>
  <si>
    <t>The validation programme</t>
  </si>
  <si>
    <t>Note. Tasks 1, 2, 3, 6 and 8 are analytical or administrative requests; Tasks 4 and 5 are administrative actions; Task 7 repeats an activity the programme has already delivered twenty-one times in this province. Initiation of the capital programme at §12 is contingent on completion of Tasks 1, 3, 5 and 6.</t>
  </si>
  <si>
    <t>SOURCE  ▸  LDS · TABLE 5 · §5 · §5.2 · p. 28</t>
  </si>
  <si>
    <t>What the two-year programme should deliver</t>
  </si>
  <si>
    <t>TABLE 14</t>
  </si>
  <si>
    <t>Two-year programme: volumetrics, sequencing and financing route</t>
  </si>
  <si>
    <t>Note. Financing routes are named from the sources the municipalities themselves cite in their two-year plans and from the standing fiscal instruments established by Mandanas v. Ochoa (2018) and the Local Government Code. Each plan action should be routed through the Local Investment Plan for Health, the Annual Investment Program and Sanggunian appropriation, with a specific appropriation line and amount attached.</t>
  </si>
  <si>
    <t>On that basis the first tranche is the seven municipalities carrying seven or more uncovered barangays, of which two also carry the province's thinnest networks:</t>
  </si>
  <si>
    <t>Population and barangays: PSA 2024 Census and PSGC. Facilities and beds: project-held DOH/HFSRB register. Health indicators: DOH LGU Health Scorecard, 2022 indicator year except facility-based delivery (2018). ● filed an EBDM workbook; ○ did not file. No GIDA column appears, for the reason at §4.4.</t>
  </si>
  <si>
    <t>How much is known about each municipality, and from which layers. "Official" denotes the census, scorecard and facility register, available for all 24. "Workshop" denotes the EBDM record. "FHSIS" denotes the MOH-BARMM reporting assessment.</t>
  </si>
  <si>
    <t>Ganassi</t>
  </si>
  <si>
    <t>What is not known, why, and the exact source that would close it. Items are ordered by consequence for decision-making.</t>
  </si>
  <si>
    <t>of which Level III</t>
  </si>
  <si>
    <t># 1. Executive Summary</t>
  </si>
  <si>
    <t>of which Level I</t>
  </si>
  <si>
    <t>1.2</t>
  </si>
  <si>
    <t>of which primary care facility</t>
  </si>
  <si>
    <t>Note. Compiled for this report from the sources cited at each stage. The stages are serial: an unaddressed constraint at an early stage blocks success at a later one. In this area the pattern differs from the rest of the series — Stage Two is substantially solved and Stages Three, Four and Five are substantially unbuilt, which is why the sequencing at Section 10 begins with entitlement rather than with construction.</t>
  </si>
  <si>
    <t>Scope and the unit of analysis</t>
  </si>
  <si>
    <t>Note. Adapted from International Organization for Migration (2026a). The Special Geographic Area is a complete cohort, matched in this series only by Maguindanao del Norte. Eleven quality-control flags remain open, all of low severity: one duplicate-workbook resolution recorded against two source rows (Tugunan), two non-standard priority values (Kapalawan) and seven theme-mismatch notices. Completion of the instrument is not evidence of the condition it describes.</t>
  </si>
  <si>
    <t>with TB-DOTS and maternity care</t>
  </si>
  <si>
    <t>Note. Compiled for this report. Layers are ordered by independence from the reporting unit, not by quality. No layer is discarded; each is used for what it can carry and is named wherever it carries a figure. Where Layers C and E disagree, both are printed (Table 6).</t>
  </si>
  <si>
    <t>What can and cannot be stated about disease in the Special Geographic Area</t>
  </si>
  <si>
    <t>with maternity care only</t>
  </si>
  <si>
    <t>What is known about disease in the Special Geographic Area</t>
  </si>
  <si>
    <t>PHILHEALTH KONSULTA RETURN, BARMM — REGISTRATIONS 2021 TO 27 MAY 2024, FIRST PATIENT ENCOUNTERS JANUARY TO MAY 2024</t>
  </si>
  <si>
    <t>SOURCE  ▸  BARMM · TABLE 6 · §6 · p. 18</t>
  </si>
  <si>
    <t>Marogong</t>
  </si>
  <si>
    <t>Note. Compiled for this report from World Bank (2020, pp. 83–120) and International Organization for Migration (2026a). This table replaces the leading-cause profile carried in the other diagnostics in this series. The absence of a cause profile for a population of 214,703 is itself the finding, and it is routed to Annex C rather than filled by estimation.</t>
  </si>
  <si>
    <t>The six mother municipalities: the pre-transfer record, 2022</t>
  </si>
  <si>
    <t>The mother-municipality series: a ceiling, not a baseline</t>
  </si>
  <si>
    <t>Note. Adapted from Department of Health (n.d.), LGU Health Scorecard municipal dataset, 2022 indicator year, Region XII / Cotabato (North Cotabato). These are whole-municipality figures. The 63 transferred barangays are a subset of each, and the retained areas are on average the more accessible ones; the series is a ceiling on the pre-transfer condition of the transferred barangays, not a baseline for them. † Midsayap's health budget share is recorded as 427, which cannot be a percentage; it is printed as it appears and is not used. Pikit recorded a rural health unit and health centre catchment of 176,595 in the same year against a target of 20,000.</t>
  </si>
  <si>
    <t>What the last survey to reach this territory found</t>
  </si>
  <si>
    <t>Note. Adapted from World Bank (2020, pp. 83–120). Four qualifications apply to every figure in this exhibit. The fieldwork was conducted in 2019, five years before the eight municipalities existed, and measures the population under Cotabato Province administration. The stratum was analysed without survey weights. Its published sampling-frame row (Table 5.1) describes 543 barangays and 313,578 households — the whole of Cotabato Province — rather than the 63 transferred barangays, so it cannot be established that all 13 sample barangays fall inside the area; the narrative nonetheless labels the stratum “the North Cotabato BARMM barangays” throughout. Figures are not disaggregable below the stratum. All are carried at Tier B.</t>
  </si>
  <si>
    <t>Free-standing dialysis / hemodialysis</t>
  </si>
  <si>
    <t>Sixty-three of sixty-three barangays carry a service point</t>
  </si>
  <si>
    <t>TITLE AS PRINTED  ▸  The PhilHealth Konsulta return, and its three arithmetic failures</t>
  </si>
  <si>
    <t>Complete barangay coverage: the finding that inverts the series</t>
  </si>
  <si>
    <t>Other packages (animal bite, HIV hub, hospital TB-DOTS)</t>
  </si>
  <si>
    <t>Note. Derived. Barangay counts are those constituted by Bangsamoro Autonomy Acts Nos. 41–48 and confirmed in the Philippine Standard Geographic Code (Philippine Statistics Authority, 2025a): Pahamuddin 12, Tugunan 9, and seven each in the remaining six municipalities. Service points are the 66 facility records returned by the municipalities (International Organization for Migration, 2026a), distributed across all 63 barangays; Malidegao's Batulawan holds both the rural health unit and a station, and two records carry a location field that is a parse artefact rather than a barangay name. The regional comparator is World Bank (2020, pp. 130–131): “While the DOH-ARMM had established a standard of one BHS per barangay, just seven RHUs (5.7 percent) met this standard; 74 percent of RHUs had fewer than one BHS for every two barangays.” Coverage here means the physical presence of a service point. It does not mean staffing, equipment, opening hours, or entitlement to payment, and on the last of those the finding is uniform: none of the 66 is accredited. The six unregistered barangays are Barungis, Buliok and Bulol (Ligawasan) and Balong, Macabual and Macasendeg (Tugunan). Barangay names are given as the municipalities render them; the register spells three of them differently — Bagoenged as BAGOAINGUD, Gokotan as GOKOTON and Dungguan as DUNGUAN — and the variants were matched on inspection, not on string equality.</t>
  </si>
  <si>
    <t>The facility stock, and the two registers that disagree</t>
  </si>
  <si>
    <t>Ambulatory surgical, Z Benefit, isolation and laboratory accreditations</t>
  </si>
  <si>
    <t>Province</t>
  </si>
  <si>
    <t>Konsulta registered</t>
  </si>
  <si>
    <t>Note. Population and barangay counts from Philippine Statistics Authority (2025a), reconciling exactly to 214,703 and 63. Service points, facility type, cold chain and accreditation from International Organization for Migration (2026a), the municipalities' own enumeration. “Registered bgys” is the count of barangays carrying at least one entry in the DOH facility register (International Organization for Migration, 2026c); the six with none are Barungis, Buliok and Bulol in Ligawasan and Balong, Macabual and Macasendeg in Tugunan. Population per rural health unit is computed on the units the municipalities report operating; Kapalawan and Nabalawag report none, and the area figure of 35,784 divides the whole population by six. On the register's nine units the area figure is 23,856. Cold chain counts facilities recorded functional; six Nabalawag records carry no entry and are not counted as either. Accreditation is zero in every municipality and every class.</t>
  </si>
  <si>
    <t>First patient encounters, | Jan–May 2024</t>
  </si>
  <si>
    <t>Conversion</t>
  </si>
  <si>
    <t>The two facility registers compared, and how each disagreement is treated</t>
  </si>
  <si>
    <t>SAP-1 generated (₱)</t>
  </si>
  <si>
    <t>SAP-1 paid (₱)</t>
  </si>
  <si>
    <t>Total accreditations</t>
  </si>
  <si>
    <t>LIVE  Conversion recomputed</t>
  </si>
  <si>
    <t>LIVE  Variance vs printed conversion</t>
  </si>
  <si>
    <t>Note. Register figures compiled from International Organization for Migration (2026c); enumeration figures from International Organization for Migration (2026a). A third count — 105 rows — appears in the consolidated workbook and is not a facility count: 39 of those rows are blank merged-cell spacers in a single municipality's workbook and carry no value in any field (§2.5).</t>
  </si>
  <si>
    <t>LIVE  SAP-1 paid as share of generated</t>
  </si>
  <si>
    <t>LIVE  SAP-1 paid per encounter (₱)</t>
  </si>
  <si>
    <t>The missing tier</t>
  </si>
  <si>
    <t>Note. Register from International Organization for Migration (2026c); enumeration from International Organization for Migration (2026a). The area's entire licensed inpatient capacity is four beds in two private birthing homes — Akhirah Birthing Home, Manaulanan, Tugunan, and AMJ Paanakan, Fort Pikit, Malidegao — each recorded “With License” with a licence validity date of 31 December 2025. Two barangay health stations are recorded “Without License” and the remaining 64 records carry a null licensing status. The expired dates are more plausibly a stale registry extract than a lapsed licence and must be verified against current DOH-HFSRB records before external publication; they are carried here because they are what the register states. The Special Geographic Area appears nowhere in PhilHealth's return of 347 accredited health care institutions at 31 July 2024, which includes 58 hospitals (Philippine Health Insurance Corporation, 2024).</t>
  </si>
  <si>
    <t>Poona Bayabao</t>
  </si>
  <si>
    <t>Catchment adequacy, and the denominator defect</t>
  </si>
  <si>
    <t>Note. Derived. Population from Philippine Statistics Authority (2025a). The target is the DOH-ARMM density reported at World Bank (2020, p. 130): “one RHU per 20,000 people and one BHS per barangay.” The same 1:20,000 figure is used in the source both as a facility-density target and as a physician staffing standard (World Bank, 2020, p. 132); it is applied here only as a facility target. On the register's nine units, five municipalities holding 142,833 residents — 66.5 per cent of the area — exceed the standard. On the municipalities' six, Kapalawan and Nabalawag (54,691 residents) have no unit at all. The requirement of eleven units is 214,703 divided by 20,000, rounded up. Which basis is correct is unresolved and is Task 3; both are carried because the difference determines whether the facility deficit is two units or five.</t>
  </si>
  <si>
    <t>Six functional cold chains for sixty-three barangays</t>
  </si>
  <si>
    <t>Cold chain</t>
  </si>
  <si>
    <t>Note. Adapted from International Organization for Migration (2026a). Six of 66 facilities, or 9.1 per cent, hold a functional cold chain. Six Nabalawag records carry no cold-chain entry at all; they are shown as unrecorded and are not counted as facilities without a cold chain. Three municipalities — Kapalawan, Old Kaabakan and Pahamuddin, holding 64,634 residents across 26 barangays — record none anywhere. The area's mean cold-chain score is 0.40 on the programme's 0–2 scale, against a BARMM mean of 0.61. Read with the measured full-vaccination rate of 3 per cent (Exhibit 2), this is a task of establishment rather than of rehabilitation. The regional figure of fewer than 5 per cent of facilities holding adequate refrigerator temperatures (World Bank, 2020, p. 141) derives from a 2017 survey that visited no facility in this territory and is not a measurement of the area.</t>
  </si>
  <si>
    <t>PhilHealth-accredited health care institutions, BARMM by province, 31 July 2024</t>
  </si>
  <si>
    <t>Accreditation not evidenced in the supplied records, and what that may foreclose</t>
  </si>
  <si>
    <t>Note. Adapted from Philippine Health Insurance Corporation (2024), Annex A, reproduced as printed. The Special Geographic Area does not appear in this return. It is not a column, it is not a row, and the document does not state where its 214,703 residents or its 66 facilities are counted. The return is dated three months after the area's ratification. The zero-accreditation finding for the area therefore rests on the municipalities' own uniform return of “No” across all 66 records (International Organization for Migration, 2026a), corroborated by the absence of any Special Geographic Area facility from this matrix. One caveat on the matrix itself: the source's merged header extracts as a single line and the column-to-province mapping is inferred; row and column sums verify (14+7+11+7+8+5+6 = 58; 86+52+91+47+31+14+26 = 347), but the province labels should be confirmed against the original layout before external publication.</t>
  </si>
  <si>
    <t>Zero of three hundred and forty-seven</t>
  </si>
  <si>
    <t>Note. The International Organization for Migration (2026a) return records “No” across all 66 facility records, with no partial or programme-specific accreditation reported. The July 2024 PhilHealth regional return does not contain a printed Special Geographic Area line and does not state where its facilities or members are counted; its merged-header category mapping was reconstructed. These dated sources support the statement that accreditation is not evidenced in the supplied records. They do not conclusively establish current 2026 YAKAP status. Verify the official facility-level roster before publishing a categorical current total.</t>
  </si>
  <si>
    <t>Four estimates of the same revenue, and the amount collectible</t>
  </si>
  <si>
    <t>The ₱444,926,240 that cannot be earned</t>
  </si>
  <si>
    <t>SOURCE  ▸  MDN · TABLE 6 · §5 · §5.2 · p. 22</t>
  </si>
  <si>
    <t>Note. Derived from the municipalities’ worksheets. The arithmetic corrections are reproducible, including Kadayangan’s recovered cells and the omitted 60 per cent factor in six municipalities. The census-based ₱218,997,060 result is not a revenue projection or an amount collectible. It is a gross scenario equal to 214,703 × 60 per cent × ₱1,700, assuming 60 per cent empanelment/first-patient-encounter completion and realization of the full per-capita amount. Accreditation, empanelment, service completion and performance conditions are not established. The figure should be used only as a sensitivity scenario for accreditation planning.</t>
  </si>
  <si>
    <t>Every referral path leaves the jurisdiction</t>
  </si>
  <si>
    <t>A referral chain that terminates outside the jurisdiction</t>
  </si>
  <si>
    <t>Note. Adapted from International Organization for Migration (2026a). These are self-reported travel times to whatever facility each station regards as its next step, not modelled travel times to a defined service, and no cross-area access comparator exists in any package in this programme. They establish that most of the area is within an hour of the next step in its own chain; they do not establish that any part of the area is within an hour of a bed, a physician or a laboratory, and on the evidence of Exhibit 4 none of the 66 facilities is. One record reports no turnaround time and one records a value to which the parser could not attach a unit. The absence of a referral completion rate reflects the absence of measurement rather than a failure of service, and the report maintains the distinction because the two conditions call for different responses.</t>
  </si>
  <si>
    <t>Note. Adapted from Ministry of Health–Bangsamoro Autonomous Region in Muslim Mindanao (2025), a unit-and-resourcing survey conducted November–December 2025, and from International Organization for Migration (2026a). A hard “No report” against two units is a measurement of transmission, not of recording. No statement about the six unassessed municipalities is made or implied.</t>
  </si>
  <si>
    <t>Maguindanao (undivided)</t>
  </si>
  <si>
    <t>Two accounts of the same reporting performance</t>
  </si>
  <si>
    <t>Mag. del Norte</t>
  </si>
  <si>
    <t>Mag. del Sur</t>
  </si>
  <si>
    <t>The contradiction between the two reporting accounts</t>
  </si>
  <si>
    <t>Note. Adapted from International Organization for Migration (2026a) and Ministry of Health–Bangsamoro Autonomous Region in Muslim Mindanao (2025). The two accounts are not reconcilable as measurements of the same object and no attempt is made to reconcile them. A network can achieve internal transmission completely and external transmission not at all, and that is the most economical explanation of a 99.8 per cent internal figure alongside a “No report” external one. Treating the self-reported figure as evidence of adequate reporting would overstate the case; treating the “No report” finding as evidence that the area does not record its work would understate it. Six municipalities holding 169,941 residents have not been assessed, and no statement about them is made or implied.</t>
  </si>
  <si>
    <t>Balabagan</t>
  </si>
  <si>
    <t>Five divergences between the administrative record and the local record</t>
  </si>
  <si>
    <t>Note. Compiled for this report. The divergences do not run in one direction. The area’s self-reported process indicators run high; externally recorded structural indicators run at or near zero; and self-reported quantities also run high. Inpatient beds are corroborated by the project-held facility register. Accreditation and primary-care benefit status are not evidenced in the supplied dated records, but the Special Geographic Area is absent rather than expressly reported as zero in the July 2024 regional return. Those statuses require confirmation against the current official YAKAP facility-level roster before publication as current totals.</t>
  </si>
  <si>
    <t>Note. Statutory titles and numbers were verified against the accessible published texts of the Bangsamoro Parliament, the Bangsamoro Official Gazette and the Official Gazette of the Republic. The mapping is the author's and is offered as an aid to assigning responsibility; it is not a statutory cross-reference and does not substitute for legal advice. Three verification caveats are carried at §13.3: the verbatim text of Article XV of the Bangsamoro Organic Law was not retrieved and is not quoted; the Bangsamoro Official Gazette landing pages for Acts Nos. 43 and 44 render the municipality names differently from the Parliament's register; and the specific issuance governing licensure of primary care facilities in a devolved region was not obtained, which is why the licensing row names a function rather than a section.</t>
  </si>
  <si>
    <t>of which Level II</t>
  </si>
  <si>
    <t>Note. Compiled for this report. Actions 1, 2, 5 and 7 require no capital and can begin immediately; Action 1 is Tasks 1 and 2 of the ninety-day programme at Section 11, Action 2 is Tasks 3 and 4, Action 5 is Task 5, Action 6 is Task 6 and Action 7 is Task 7. Action 3 is the highest-value action in the report and is conditional on Action 1. Action 4 is low-cost and high-certainty. Action 6 is the capital programme and is sized at Section 12. The order differs from the other diagnostics in this series because this area's constraint is entitlement rather than access: it has built the bottom of the pyramid completely and has none of the rest of it.</t>
  </si>
  <si>
    <t>The ninety-day validation programme</t>
  </si>
  <si>
    <t>Note. Compiled for this report. No task requires capital expenditure. Task 1 conditions every recurrent cost in Section 12; Task 2 conditions every accreditation-dependent figure; Task 3 conditions Tasks 5 and 6. Tasks 1, 2, 3 and 7 require action by regional or national bodies and cannot be completed by the municipalities alone; Tasks 4, 5 and 6 are substantially within municipal authority. The programme is structured for completion within ninety days of adoption.</t>
  </si>
  <si>
    <t>Volumetrics for the two-year programme</t>
  </si>
  <si>
    <t>no line in the return</t>
  </si>
  <si>
    <t>no line</t>
  </si>
  <si>
    <t>Note. Derived from Philippine Statistics Authority (2025a), International Organization for Migration (2026a, 2026c) and the target at World Bank (2020, p. 130). No peso amount is attached. No current MOH-BARMM or Health Facility Enhancement Program unit-cost schedule was available, and — more to the point in this area — until Tasks 1 and 2 are answered a costed envelope would be a costed envelope with no identified payer (§12). The quantities are stated so that costing becomes mechanical once schedules and a fiscal determination are supplied.</t>
  </si>
  <si>
    <t>STATED BARMM TOTAL</t>
  </si>
  <si>
    <t>Note. Financing routes are named from the sources the eight municipalities themselves cite in their two-year plans (International Organization for Migration, 2026a) — municipal budget, MOH, SGADA, the Special Geographic Area field health office, barangay budget, PhilHealth, the General Appropriations Act of the Bangsamoro, the Special Development Fund, partner agencies and Member of Parliament support — and from the standing fiscal instruments identified at §5.4. Two routes ordinarily available to a Philippine municipality are omitted deliberately: the National Tax Allotment and the 20 per cent Development Fund computed on it, pending Task 1. Each component should be routed through the municipal investment plan for health, the Annual Investment Program and Sanggunian appropriation, with a specific appropriation line and amount attached. Components 3, 4 and 8 carry no or low capital cost and can begin on adoption.</t>
  </si>
  <si>
    <t>Area monitoring indicators</t>
  </si>
  <si>
    <t>Note. Compiled for this report. Nine of the twelve baselines are zero, near zero, or not computable, and that is the intended property of the set. In an area with no statistical history, an indicator that moves off zero is a measurable result; an indicator expressed as a rate against an unvalidated denominator is not. Indicator 11 is retired once it reaches approximately 100 per cent. Indicators 1, 3, 5 and 8 are the four on which the two-year programme should be judged.</t>
  </si>
  <si>
    <t>COLUMN SUM AS PRINTED</t>
  </si>
  <si>
    <t>Bayang</t>
  </si>
  <si>
    <t>Municipal master table, eight municipalities</t>
  </si>
  <si>
    <t>REFERENCES</t>
  </si>
  <si>
    <t>Note. Column sources. Act, PSGC, population and barangay counts: Bangsamoro Autonomy Acts Nos. 41–48 and Philippine Statistics Authority (2025a), 2024 Census of Population, reference date 1 July 2024. Barangays with a service point, service points, rural health units (own), barangay health stations, self-help structures, accreditation, cold chain, equipment readiness, composite, catchment, revenue, systems-map priority rows and plan actions: International Organization for Migration (2026a), the municipalities' own returns, unaudited. “Map rows H/M/L” counts the health-systems-map rows each municipality returned, by standardised priority; it is not a classification of the 66 priority-gap records, which carry no priority field. Registered barangays, rural health units (register) and beds: International Organization for Migration (2026c), the project-held DOH facility register. FHSIS: Ministry of Health–BARMM (2025) EBDM capacity index; an em dash denotes not assessed, not a score of zero.</t>
  </si>
  <si>
    <t>Municipality structural completion and planning tiers</t>
  </si>
  <si>
    <t>LIVE  Column sum of the province rows</t>
  </si>
  <si>
    <t>Note. Compiled for this report. Tier 1 — structural completion: a tier of the network is absent or unregistered, so a resident's first or second point of contact does not exist in one of the two registers. Tier 2 — equipment: the network is complete and unequipped; the binding constraint is procurement and power. Tier 3 — verification: the network is complete and equipped to the area's median, and the constraint is that its own evidence cannot presently be relied on for allocation. No municipality qualifies for a monitor-and-sustain tier. Tiers are assigned on the most binding constraint; several municipalities sit in more than one and the full position is in the preceding columns. Nabalawag and Pahamuddin are the only municipalities with any external assessment, and both were recorded as submitting no report; their tier assignment rests on structural facts, not on that assessment.</t>
  </si>
  <si>
    <t>Evidence gap register</t>
  </si>
  <si>
    <t>Note. Compiled for this report. Sixteen of the eighteen items are documents held by an identified office and retrievable by written request; two — items 3 and 10 — require field collection. None requires new research design.</t>
  </si>
  <si>
    <t>LIVE  Variance: live column sum minus the total stated in the return</t>
  </si>
  <si>
    <t>LIVE  Regional conversion on the live column sums</t>
  </si>
  <si>
    <t>Madalum</t>
  </si>
  <si>
    <t>SOURCE  ▸  MDS · TABLE 7 · §5 · §5.2 · p. 20</t>
  </si>
  <si>
    <t>SOURCE  ▸  MDS · TABLE 8 · §5 · §5.3 · p. 21</t>
  </si>
  <si>
    <t>TITLE AS PRINTED  ▸  Konsulta performance, BARMM, 2021 to May 2024</t>
  </si>
  <si>
    <t>First patient encounters, Jan–May 2024</t>
  </si>
  <si>
    <t>Taraka</t>
  </si>
  <si>
    <t>— of which private</t>
  </si>
  <si>
    <t>Haemodialysis and dialysis</t>
  </si>
  <si>
    <t>Ambulatory surgical, Z Benefit, laboratory</t>
  </si>
  <si>
    <t>Saguiaran</t>
  </si>
  <si>
    <t>LICENSED INPATIENT CAPACITY — REGIONAL SUMMARY AND THE FACILITY-LEVEL REGISTERS BEHIND IT</t>
  </si>
  <si>
    <t>SOURCE  ▸  BARMM · TABLE 7 · §7 · p. 21</t>
  </si>
  <si>
    <t>Stated BARMM total</t>
  </si>
  <si>
    <t>TITLE AS PRINTED  ▸  Licensed inpatient capacity across the four jurisdictions</t>
  </si>
  <si>
    <t>Infirmaries</t>
  </si>
  <si>
    <t>Acute inpatient beds</t>
  </si>
  <si>
    <t>Per 1,000</t>
  </si>
  <si>
    <t>All licensed beds</t>
  </si>
  <si>
    <t>SOURCE  ▸  SGA · TABLE 7 · §5 · §5.2 · p. 19</t>
  </si>
  <si>
    <t>Concentration</t>
  </si>
  <si>
    <t>Population 2024 (10_Municipal_Master roll-up)</t>
  </si>
  <si>
    <t>LIVE  Acute beds per 1,000</t>
  </si>
  <si>
    <t>LIVE  All licensed beds per 1,000</t>
  </si>
  <si>
    <t>TITLE AS PRINTED  ▸  PhilHealth-accredited health care institutions, BARMM by province, 31 July 2024</t>
  </si>
  <si>
    <t>Marawi City holds 58.6% of hospital beds; one facility holds 46.8%. Three municipalities hold 85.2% of all licensed beds of every class.</t>
  </si>
  <si>
    <t>Bubong</t>
  </si>
  <si>
    <t>I. Hospital</t>
  </si>
  <si>
    <t>Its four hospitals sit in three municipalities; one — a DOH-retained national leprosarium — holds 55.6%. All 360 beds are government beds; not one private hospital bed exists in the twelve municipalities.</t>
  </si>
  <si>
    <t>Ambulatory surgical clinic</t>
  </si>
  <si>
    <t>Z Benefit Package</t>
  </si>
  <si>
    <t>II. Rural health unit</t>
  </si>
  <si>
    <t>Maguindanao Provincial Hospital holds 55.2% of hospital beds and 38.1% of all licensed beds; with Buluan District Hospital, 73.6% of hospital beds.</t>
  </si>
  <si>
    <t>TB-DOTS and maternity care</t>
  </si>
  <si>
    <t>Binidayan</t>
  </si>
  <si>
    <t>TB-DOTS only</t>
  </si>
  <si>
    <t>Maternity care only</t>
  </si>
  <si>
    <t>The entire licensed inpatient complement is four beds in two private birthing homes.</t>
  </si>
  <si>
    <t>III. Konsulta package provider</t>
  </si>
  <si>
    <t>IV. Lying-in clinic</t>
  </si>
  <si>
    <t>A hospital of any level exists in 16 of 84 local government units. One Level III facility; two registered at Level 2.</t>
  </si>
  <si>
    <t>V. Cataract interim unit</t>
  </si>
  <si>
    <t>VI. Free-standing dialysis clinic</t>
  </si>
  <si>
    <t>LIVE  Column sum of the four jurisdiction rows</t>
  </si>
  <si>
    <t>VII. Haemodialysis</t>
  </si>
  <si>
    <t>VIII. Diagnostic testing laboratory</t>
  </si>
  <si>
    <t>IX. Other packages</t>
  </si>
  <si>
    <t>LIVE  Variance against the FOUR JURISDICTIONS row as printed</t>
  </si>
  <si>
    <t>Ditsaan-Ramain</t>
  </si>
  <si>
    <t>SOURCE  ▸  LDS · TABLE 6 · §6 · §6.1 · p. 31</t>
  </si>
  <si>
    <t>TITLE AS PRINTED  ▸  The eleven licensed hospitals of Lanao del Sur</t>
  </si>
  <si>
    <t>Hospital</t>
  </si>
  <si>
    <t>Ownership</t>
  </si>
  <si>
    <t>Municipality</t>
  </si>
  <si>
    <t>Service capability</t>
  </si>
  <si>
    <t>Beds</t>
  </si>
  <si>
    <t>License valid to</t>
  </si>
  <si>
    <t>Amai Pakpak Medical Center</t>
  </si>
  <si>
    <t>Government</t>
  </si>
  <si>
    <t>COLD CHAIN — RECORD BASE, FUNCTIONAL STATUS AND THE UNRECORDED FIELD</t>
  </si>
  <si>
    <t>Level 3</t>
  </si>
  <si>
    <t>SOURCE  ▸  BARMM · EXHIBIT 5 · §5 · p. 16</t>
  </si>
  <si>
    <t>31 Dec 2024</t>
  </si>
  <si>
    <t>Dr. Serapio Montañer Jr. Al-Haj Memorial Hospital</t>
  </si>
  <si>
    <t>Level 1</t>
  </si>
  <si>
    <t>Tamparan District Hospital</t>
  </si>
  <si>
    <t>Tugaya</t>
  </si>
  <si>
    <t>31 Dec 2025</t>
  </si>
  <si>
    <t>TITLE AS PRINTED  ▸  Cold chain: 115 functional, 353 not stated, out of 836 records</t>
  </si>
  <si>
    <t>Mindalano Specialist Hospital Foundation</t>
  </si>
  <si>
    <t>Private</t>
  </si>
  <si>
    <t>Tamparan Medical Foundation Hospital</t>
  </si>
  <si>
    <t>Records in base</t>
  </si>
  <si>
    <t>Dr. Abdullah Hospital Foundation</t>
  </si>
  <si>
    <t>Functional</t>
  </si>
  <si>
    <t>None or partial | recorded</t>
  </si>
  <si>
    <t>No status recorded</t>
  </si>
  <si>
    <t>Salaam Hospital Foundation</t>
  </si>
  <si>
    <t>LIVE  Functional share of records</t>
  </si>
  <si>
    <t>Balindong District Hospital</t>
  </si>
  <si>
    <t>LIVE  Unrecorded share of records</t>
  </si>
  <si>
    <t>LIVE  Status accounted (functional + none/partial + no status)</t>
  </si>
  <si>
    <t>Unayan District Hospital</t>
  </si>
  <si>
    <t>LIVE  Unaccounted records</t>
  </si>
  <si>
    <t>Values as printed where they carry a qualifier</t>
  </si>
  <si>
    <t>Wao District Hospital</t>
  </si>
  <si>
    <t>One municipality reports 86 per cent of stations unable to store vaccine; another records a functionality score of 0.028.</t>
  </si>
  <si>
    <t>Hijrah Hospital</t>
  </si>
  <si>
    <t>Total</t>
  </si>
  <si>
    <t>6 government, 5 private</t>
  </si>
  <si>
    <t>7 municipalities</t>
  </si>
  <si>
    <t>1 Level 3, 10 Level 1</t>
  </si>
  <si>
    <t>LIVE  Sum of the facility rows, excluding the table's own total rows</t>
  </si>
  <si>
    <t>LIVE  Variance against the total row or rows as printed</t>
  </si>
  <si>
    <t>Butig</t>
  </si>
  <si>
    <t>SOURCE  ▸  MDN · TABLE 7 · §6 · §6.1 · p. 25</t>
  </si>
  <si>
    <t>The category "Partial" is never used once. Within the twelve municipalities, 151 of 207 service locations are blank. The Awang cold store supplies the provincial vaccine store and sixteen further municipalities directly.</t>
  </si>
  <si>
    <t>TITLE AS PRINTED  ▸  The twelve licensed hospitals and infirmaries of Maguindanao del Norte</t>
  </si>
  <si>
    <t>Cold chain in the rural health unit only in at least one municipality, with all 22 stations blank.</t>
  </si>
  <si>
    <t xml:space="preserve">[Records in base: 63 matched] </t>
  </si>
  <si>
    <t>Facility</t>
  </si>
  <si>
    <t>Capability</t>
  </si>
  <si>
    <t>THE 1:20,000 RURAL HEALTH UNIT PLANNING TARGET, AND THE FIRST-CONTACT COVERAGE GRADIENT</t>
  </si>
  <si>
    <t>Three municipalities — 64,634 residents, 26 barangays — record no vaccine storage anywhere. Area mean score 0.40 against a BARMM mean of 0.61.</t>
  </si>
  <si>
    <t>SOURCE  ▸  BARMM · TABLE 4 · §5 · p. 16</t>
  </si>
  <si>
    <t>Licence valid to</t>
  </si>
  <si>
    <t>Cotabato Sanitarium and General Hospital</t>
  </si>
  <si>
    <t>Sultan Kudarat</t>
  </si>
  <si>
    <t>Government — DOH</t>
  </si>
  <si>
    <t>Level 2</t>
  </si>
  <si>
    <t>31 Dec 2026</t>
  </si>
  <si>
    <t>Camp Siongco Station Hospital</t>
  </si>
  <si>
    <t>TITLE AS PRINTED  ▸  Rural health units against the 1:20,000 planning target</t>
  </si>
  <si>
    <t>Datu Odin Sinsuat</t>
  </si>
  <si>
    <t>Government — DND</t>
  </si>
  <si>
    <t>The bases are the four volumes’ own record sets and are not commensurable facility counts.</t>
  </si>
  <si>
    <t>Datu Odin Sinsuat District Hospital</t>
  </si>
  <si>
    <t>Government — national</t>
  </si>
  <si>
    <t>Datu Blah T. Sinsuat District Hospital</t>
  </si>
  <si>
    <t>Upi</t>
  </si>
  <si>
    <t>Iranun District Hospital</t>
  </si>
  <si>
    <t>Parang</t>
  </si>
  <si>
    <t>Units held</t>
  </si>
  <si>
    <t>Government — MOH-BARMM</t>
  </si>
  <si>
    <t>Infirmary</t>
  </si>
  <si>
    <t>Lumbatan</t>
  </si>
  <si>
    <t>Units implied by the target</t>
  </si>
  <si>
    <t>Shortfall</t>
  </si>
  <si>
    <t>Camp Brig. Gen. Salipada K. Pendatun Hospital</t>
  </si>
  <si>
    <t>LGUs above the threshold</t>
  </si>
  <si>
    <t>Residents in those LGUs</t>
  </si>
  <si>
    <t>Population 2024 (live roll-up)</t>
  </si>
  <si>
    <t>LIVE  Units implied at the catchment standard (nearest)</t>
  </si>
  <si>
    <t>Twelve municipalities — total</t>
  </si>
  <si>
    <t>LIVE  Variance vs printed implied</t>
  </si>
  <si>
    <t>All government</t>
  </si>
  <si>
    <t>LIVE  Shortfall recomputed</t>
  </si>
  <si>
    <t>LIVE  Variance vs printed shortfall</t>
  </si>
  <si>
    <t>Units held: value as printed where it carries a qualifier</t>
  </si>
  <si>
    <t>Cotabato Regional and Medical Center</t>
  </si>
  <si>
    <t>LIVE  Units implied (rounded up)</t>
  </si>
  <si>
    <t>City of Cotabato</t>
  </si>
  <si>
    <t>Notre Dame Hospital and Siena College</t>
  </si>
  <si>
    <t>Cotabato Puericulture Center and General Hospital</t>
  </si>
  <si>
    <t>Bangsamoro Doctors Hospital</t>
  </si>
  <si>
    <t>United Doctors Hospital of Cotabato City</t>
  </si>
  <si>
    <t>Note. The four bases are the volumes' own record sets and are not commensurable facility counts: Lanao del Sur 407 cleaned service-location records, Maguindanao del Norte 300, Maguindanao del Sur 63 matched, Special Geographic Area 66. Percentages carried in the source cells are reproduced verbatim in the value columns and are therefore parsed to the leading integer only where a percentage was printed beside it.</t>
  </si>
  <si>
    <t>Eros Medical Clinic</t>
  </si>
  <si>
    <t>City of Cotabato — total</t>
  </si>
  <si>
    <t>375 government, 137 private</t>
  </si>
  <si>
    <t>Madamba</t>
  </si>
  <si>
    <t>SOURCE  ▸  MDS · TABLE 9 · §6 · §6.1 · p. 24</t>
  </si>
  <si>
    <t>9 registered / 6 operating</t>
  </si>
  <si>
    <t>TITLE AS PRINTED  ▸  The six licensed hospitals and six infirmaries of Maguindanao del Sur</t>
  </si>
  <si>
    <t>Class</t>
  </si>
  <si>
    <t>Maguindanao Provincial Hospital</t>
  </si>
  <si>
    <t>Bacolod-Kalawi</t>
  </si>
  <si>
    <t>Datu Hoffer Ampatuan</t>
  </si>
  <si>
    <t>31 Dec 2024 — expired</t>
  </si>
  <si>
    <t>SOURCE  ▸  BARMM · EXHIBIT 4 · §5 · p. 16</t>
  </si>
  <si>
    <t>Buluan District Hospital</t>
  </si>
  <si>
    <t>Buluan</t>
  </si>
  <si>
    <t>Sulaik Clinic and Hospital</t>
  </si>
  <si>
    <t>Shariff Aguak</t>
  </si>
  <si>
    <t>TITLE AS PRINTED  ▸  The first-contact coverage gradient: 11 per cent to 100 per cent</t>
  </si>
  <si>
    <t>Guindulungan Doctors Hospital</t>
  </si>
  <si>
    <t>Guindulungan</t>
  </si>
  <si>
    <t>South Upi Municipal Hospital</t>
  </si>
  <si>
    <t>South Upi</t>
  </si>
  <si>
    <t>Eros Hospital</t>
  </si>
  <si>
    <t>Barangays covered</t>
  </si>
  <si>
    <t>Datu Paglas</t>
  </si>
  <si>
    <t>LIVE  Coverage recomputed</t>
  </si>
  <si>
    <t>LIVE  Barangays not covered</t>
  </si>
  <si>
    <t>Jhalilnor Hospital</t>
  </si>
  <si>
    <t>Denominator / coverage as printed where it carries a qualifier</t>
  </si>
  <si>
    <t>What the gap actually is (as printed)</t>
  </si>
  <si>
    <t>Datu Anggal Midtimbang</t>
  </si>
  <si>
    <t>The correct instrument (as printed)</t>
  </si>
  <si>
    <t>Manangan Clinic and Hospital</t>
  </si>
  <si>
    <t>ABPI-Samama Medical Lying-In Clinic and Hospital</t>
  </si>
  <si>
    <t>Datu Piang</t>
  </si>
  <si>
    <t>Magriña Clinic and Hospital</t>
  </si>
  <si>
    <t>Rohanna Birthing Lying-In Clinic and Hospital</t>
  </si>
  <si>
    <t>Sultan sa Barongis</t>
  </si>
  <si>
    <t>Barangays: 1,164 current</t>
  </si>
  <si>
    <t>On current geography, 1,036 of 1,164 barangays have no matched registered station if the 128-station count is retained. Eleven municipalities have none in the project-held register; one municipality is recorded at zero stations against 44 mapped service locations. The five post-2020 barangays require facility cross-walking.</t>
  </si>
  <si>
    <t>Register reconciliation first, then construction. The volume defers that municipality’s allocation pending it.</t>
  </si>
  <si>
    <t>Dr. G Akas Hospital, Inc.</t>
  </si>
  <si>
    <t>Datu Saudi-Ampatuan</t>
  </si>
  <si>
    <t>6 hospitals, 6 infirmaries</t>
  </si>
  <si>
    <t>10 municipalities</t>
  </si>
  <si>
    <t>3 gov / 9 private</t>
  </si>
  <si>
    <t>1 Level 2, 5 Level 1</t>
  </si>
  <si>
    <t>132 barangays carry no registered facility of any type. Datu Salibo holds two facilities for seventeen barangays and 21,295 residents, with no licensed bed of any class.</t>
  </si>
  <si>
    <t>Construction, sequenced on uncovered barangays — but 23 of 57 birthing homes are RHU annexes and the delivery-point network is overstated by 11.3 per cent until they are separated.</t>
  </si>
  <si>
    <t>46 barangays carry no registered station, and the registry and the municipalities’ own worksheets agree on which: one municipality proposes stations for "3 barangays with no BHS" against a registry gap of exactly three.</t>
  </si>
  <si>
    <t>Construction. This is the one capital volumetric in the series resting on two agreeing instruments.</t>
  </si>
  <si>
    <t>Buadiposo-Buntong</t>
  </si>
  <si>
    <t>Coverage: 90.5% registered | 100% enumerated</t>
  </si>
  <si>
    <t>Every barangay has a service point on the municipalities’ own enumeration. Six carry no national-register entry, and three service points are self-help structures; one newly constructed station stands cordoned over a land claim.</t>
  </si>
  <si>
    <t>Registration and accreditation, not construction. Building more here would add unaccreditable and therefore unfinanced capacity.</t>
  </si>
  <si>
    <t>Note. Lanao del Sur's barangay denominator is printed as text ('1,164 current') in the source exhibit and therefore does not parse to a number; its live coverage cell reports that condition rather than a false result. On 1,164 barangays the printed 128 covered gives 11.0 per cent; the province's own Annex A implies 135 covered on the 1,159-node model geography. That divergence is carried to 90_QA_Flags.</t>
  </si>
  <si>
    <t>D01 — EXECUTIVE SUMMARY AND HEADLINE PANELS</t>
  </si>
  <si>
    <t>9 tables reproduced verbatim from the five diagnostics. Each block is preceded by its locator: report code, table or exhibit label, section number, subsection number and the page printed in that report's own contents list.</t>
  </si>
  <si>
    <t>SOURCE  ▸  BARMM · (unlabelled) · §1 · p. 4</t>
  </si>
  <si>
    <t>SOURCE  ▸  MDS · TABLE 10 · §6 · §6.1 · p. 24</t>
  </si>
  <si>
    <t>TITLE AS PRINTED  ▸  # 1 Executive Summary</t>
  </si>
  <si>
    <t>TITLE AS PRINTED  ▸  Licensed bed capacity by class and ownership</t>
  </si>
  <si>
    <t>84local government units infour jurisdictions</t>
  </si>
  <si>
    <t>3,137,511 residents, 2024 Census — 55.1% of the 1 July 2024 BARMM-with-Sulu total; 69.0% of current BARMM</t>
  </si>
  <si>
    <t>Facility class</t>
  </si>
  <si>
    <t>Facilities</t>
  </si>
  <si>
    <t>1,735 current barangays</t>
  </si>
  <si>
    <t>Government beds</t>
  </si>
  <si>
    <t>Private beds</t>
  </si>
  <si>
    <t>756registered health facilitieson the registry basis</t>
  </si>
  <si>
    <t>SOURCE  ▸  LDS · (unlabelled) · §1 · p. 4</t>
  </si>
  <si>
    <t>LIVE  Government + private beds</t>
  </si>
  <si>
    <t>LIVE  Variance against the total as printed</t>
  </si>
  <si>
    <t>Kapatagan</t>
  </si>
  <si>
    <t>1,368,137residents, 2024 Census</t>
  </si>
  <si>
    <t>1,164 current barangays</t>
  </si>
  <si>
    <t>128registered health stations</t>
  </si>
  <si>
    <t>44rural health units</t>
  </si>
  <si>
    <t>SOURCE  ▸  LDS · EXHIBIT 1 · §1 · p. 4</t>
  </si>
  <si>
    <t>Acute inpatient sub-total</t>
  </si>
  <si>
    <t>TITLE AS PRINTED  ▸  The five stages, and what fails at each one</t>
  </si>
  <si>
    <t>Stage</t>
  </si>
  <si>
    <t>The question for the patient</t>
  </si>
  <si>
    <t>Birthing home</t>
  </si>
  <si>
    <t>What the evidence establishes</t>
  </si>
  <si>
    <t>What must change first</t>
  </si>
  <si>
    <t>OneThe illness</t>
  </si>
  <si>
    <t>Is anyone counting what I have?</t>
  </si>
  <si>
    <t>Rural health unit with beds</t>
  </si>
  <si>
    <t>A double burden — stroke and heart disease lead mortality; hypertension is the second cause of morbidity; diarrhoea and pneumonia remain in the top five. No municipality-level morbidity data exists from any public source.</t>
  </si>
  <si>
    <t>1 of 24</t>
  </si>
  <si>
    <t>Screening, not surveillance software. PhilPEN coverage at 4.3 per cent is the measurable failure.</t>
  </si>
  <si>
    <t>TwoFirst contact</t>
  </si>
  <si>
    <t>Is there anywhere to go?</t>
  </si>
  <si>
    <t>1,036 of 1,164 current barangays have no matched registered station; the model separately uses 1,159 routeable 2020 nodes. The 2022 source classifies 305 barangays as geographically isolated; the five later barangays require cross-walking.</t>
  </si>
  <si>
    <t>A validated facility register, then a construction and staffing programme sequenced by unserved population.</t>
  </si>
  <si>
    <t>ThreePayment</t>
  </si>
  <si>
    <t>Will I be charged?</t>
  </si>
  <si>
    <t>Universal entitlement in law; 41.9 per cent self-reported coverage regionally; 2.1 per cent conversion from Konsulta registration to a first encounter; ₱0.80 paid per resident.</t>
  </si>
  <si>
    <t>Claims capability at accredited facilities — not further accreditation, and not further registration drives.</t>
  </si>
  <si>
    <t>FourReferral</t>
  </si>
  <si>
    <t>— share</t>
  </si>
  <si>
    <t>Where do I go next?</t>
  </si>
  <si>
    <t>0.68 hospital beds per 1,000; 47 per cent of beds in one hospital; no published catchment map; referral completion reported by none of 17 units.</t>
  </si>
  <si>
    <t>A written, adopted service-delivery network with named receiving facilities and a measured turnaround clock.</t>
  </si>
  <si>
    <t>FiveThe record</t>
  </si>
  <si>
    <t>Does the system know what happened?</t>
  </si>
  <si>
    <t>FHSIS units absent in 13 of 24 responding LGUs; iClinicSys uptake reported at zero by the provincial office; roughly four in five regional deaths unregistered.</t>
  </si>
  <si>
    <t>SOURCE  ▸  LDS · TABLE 6A · §6 · §6.1 · p. 31</t>
  </si>
  <si>
    <t>Permanent, funded FHSIS positions and a civil-registration push using the region’s own devolved authority.</t>
  </si>
  <si>
    <t>Mulondo</t>
  </si>
  <si>
    <t>SOURCE  ▸  MDN · (unlabelled) · §1 · p. 4</t>
  </si>
  <si>
    <t>TITLE AS PRINTED  ▸  Licensed bed capacity by facility class and ownership</t>
  </si>
  <si>
    <t>741,428residents in the twelvemunicipalities, 2024 Census</t>
  </si>
  <si>
    <t>221barangays</t>
  </si>
  <si>
    <t>D02 — EVIDENCE BASE, SCOPE AND METHOD</t>
  </si>
  <si>
    <t>18 tables reproduced verbatim from the five diagnostics. Each block is preceded by its locator: report code, table or exhibit label, section number, subsection number and the page printed in that report's own contents list.</t>
  </si>
  <si>
    <t>178registered barangayhealth stations</t>
  </si>
  <si>
    <t>SOURCE  ▸  BARMM · EXHIBIT 1 · §1 · p. 4</t>
  </si>
  <si>
    <t>12rural health units</t>
  </si>
  <si>
    <t>Total beds</t>
  </si>
  <si>
    <t>SOURCE  ▸  MDN · EXHIBIT 1 · §1 · p. 4</t>
  </si>
  <si>
    <t>TITLE AS PRINTED  ▸  Four jurisdictions, four distinct constraints, three shared findings</t>
  </si>
  <si>
    <t>Binding constraint</t>
  </si>
  <si>
    <t>Distinctive strength</t>
  </si>
  <si>
    <t>The correct first instrument</t>
  </si>
  <si>
    <t>Lanao del Sur | 40 LGUs · 1,368,137</t>
  </si>
  <si>
    <t>Verification. Readiness could be scored at 57 of 184 supply points; 838,972 residents are physically served by a facility whose readiness is unknown.</t>
  </si>
  <si>
    <t>The only accessibility model in the series, and the only Level III hospital in the four jurisdictions.</t>
  </si>
  <si>
    <t>One adopted facility register. Four counts are in circulation for this province — 242, 407, 442 and 86.</t>
  </si>
  <si>
    <t>Maguindanao del Norte | 12 LGUs · 741,428</t>
  </si>
  <si>
    <t>Ownership of the referral tier, and a financial protection that does not convert. 335 of 360 beds sit outside Bangsamoro control.</t>
  </si>
  <si>
    <t>The strongest measurement apparatus and the only complete provincial cohort; registry and workshop agree to within 7.6 per cent.</t>
  </si>
  <si>
    <t>Written access and referral arrangements for the 335 beds, and the PhilHealth disaggregation.</t>
  </si>
  <si>
    <t>Maguindanao del Sur | 24 LGUs · 813,243</t>
  </si>
  <si>
    <t>Throughput. The largest accreditation base in the Bangsamoro — 91 of 347 — with no measurable numerator behind it.</t>
  </si>
  <si>
    <t>23 of 24 rural health units accredited; iClinicSys in 22 of 22 assessed units.</t>
  </si>
  <si>
    <t>The PhilHealth disaggregation, and a rebuild of the provincial evidence product from the 21 filed workbooks.</t>
  </si>
  <si>
    <t>No provincial cause-of-death list exists in any source. PhilPEN screening covers 2.47% of adults against equipment present in 97% of RHUs (§3.1–3.2).</t>
  </si>
  <si>
    <t>Special Geographic Area | 8 LGUs · 214,703</t>
  </si>
  <si>
    <t>A provincial morbidity and mortality return, and a screening protocol executed at existing contact points.</t>
  </si>
  <si>
    <t>Entitlement. Dated project records report no accredited facility among 66 service locations; current official YAKAP status is not verified. The Area has no printed line in the July 2024 PhilHealth return and is not named in the DBM allotment issuances.</t>
  </si>
  <si>
    <t>The most complete first-contact network in the series: 63 of 63 barangays carry a service point.</t>
  </si>
  <si>
    <t>A written determination of the fiscal regime and of the licensing regime. Until both are settled there is no payer.</t>
  </si>
  <si>
    <t>Is there anywhere within reach?</t>
  </si>
  <si>
    <t>SHARED — Ministry-level actions</t>
  </si>
  <si>
    <t>175 of 221 barangays carry a registered station; 46 do not. Eleven of twelve municipalities exceed the 1:20,000 catchment, covering 97.3% of the population (§4.1–4.2).</t>
  </si>
  <si>
    <t>Referral completion is not yet measurable: zero observations across 57 reporting units, and null for every province in the region.</t>
  </si>
  <si>
    <t>Station construction in the 46 identified barangays, and rural health unit augmentation in the four largest municipalities.</t>
  </si>
  <si>
    <t>The record is a shared constraint: 8 ICD-trained officers; 9 of 51 EMR installations used for statutory reporting; death-registration completeness not measured.</t>
  </si>
  <si>
    <t>The pipeline has unresolved data-build issues in all four jurisdictions; 92 QC flags open; no volume uses its scoring layer.</t>
  </si>
  <si>
    <t>Will I be asked to pay?</t>
  </si>
  <si>
    <t>SOURCE  ▸  BARMM · TABLE 1 · §2 · p. 9</t>
  </si>
  <si>
    <t>Kapai</t>
  </si>
  <si>
    <t>312,635 registered members; 19 Konsulta providers; conversion not reported at provincial level. Undivided Maguindanao converts 2.12% (§5.3).</t>
  </si>
  <si>
    <t>Disaggregation of the PhilHealth Konsulta return by the post-2022 provincial boundary, then claims capability at accredited sites.</t>
  </si>
  <si>
    <t>Where do I go when the health unit cannot cope?</t>
  </si>
  <si>
    <t>TITLE AS PRINTED  ▸  The four volumes at a glance</t>
  </si>
  <si>
    <t>0.49 beds per 1,000; 8 of 12 municipalities with no bed; 55.6% of beds in one national institution; 0 of 12 reporting referral completion (§6).</t>
  </si>
  <si>
    <t>A published service-delivery network with named receiving facilities, and a referral completion measure.</t>
  </si>
  <si>
    <t>Will anyone know what happened to me?</t>
  </si>
  <si>
    <t>Volume</t>
  </si>
  <si>
    <t>Units</t>
  </si>
  <si>
    <t>BARMM registered 5,552 deaths in 2024. The 5,691,583 population is the 1 July 2024 geography including Sulu; current planning geography differs. Completeness is not measured (§7.3).</t>
  </si>
  <si>
    <t>Exercise of the Bangsamoro Government’s express civil-registration power under Art. V §2(ss) of RA 11054.</t>
  </si>
  <si>
    <t>Rural health unit with a recorded bed complement</t>
  </si>
  <si>
    <t>4 of 44</t>
  </si>
  <si>
    <t>Cohort inside the evidence base</t>
  </si>
  <si>
    <t>Open QC flags</t>
  </si>
  <si>
    <t>Lanao del Sur — Provincial Health-Systems Diagnostic (2nd ed.)</t>
  </si>
  <si>
    <t>SOURCE  ▸  MDS · (unlabelled) · §1 · p. 4</t>
  </si>
  <si>
    <t>16 of 40 LGUs plus the IPHO — 736,334 residents (53.8%), 551 barangays</t>
  </si>
  <si>
    <t>Maguindanao del Norte — Provincial Health-Systems Diagnostic</t>
  </si>
  <si>
    <t>813,243residents, 2024 Census</t>
  </si>
  <si>
    <t>287barangays</t>
  </si>
  <si>
    <t>— share of all licensed beds</t>
  </si>
  <si>
    <t>222registered health facilities</t>
  </si>
  <si>
    <t>12 of 12 — the only complete provincial cohort in the programme</t>
  </si>
  <si>
    <t>24rural health units — one per municipality</t>
  </si>
  <si>
    <t>Maguindanao del Sur — Provincial Health-Systems Diagnostic (2nd ed.)</t>
  </si>
  <si>
    <t>SOURCE  ▸  MDS · EXHIBIT 1 · §1 · p. 4</t>
  </si>
  <si>
    <t>21 of 24 — 699,808 residents (86.1%), 241 barangays</t>
  </si>
  <si>
    <t>TITLE AS PRINTED  ▸  The five stages, and what needs to be checked at each one</t>
  </si>
  <si>
    <t>Special Geographic Area — Area Health-Systems Diagnostic (2nd ed.)</t>
  </si>
  <si>
    <t>8 of 8 — no absent cohort</t>
  </si>
  <si>
    <t>57 of 84 LGUs — 2,392,273 residents (76.3%). Absent: 27 LGUs, 745,238 residents, 654 barangays</t>
  </si>
  <si>
    <t>What should be addressed first</t>
  </si>
  <si>
    <t>SOURCE  ▸  BARMM · TABLE 2 · §2 · p. 9</t>
  </si>
  <si>
    <t>One — The illness</t>
  </si>
  <si>
    <t>No province-level cause-of-death or cause-of-morbidity data exists. PhilPEN screening at 3.96 per cent; TB notification at 26.3 per cent of expected incidence; the commodity field is binary and requires validation.</t>
  </si>
  <si>
    <t>TITLE AS PRINTED  ▸  The evidence layers and what each can carry across four jurisdictions</t>
  </si>
  <si>
    <t>Screening at existing contact points, and a resolved commodity field — before any new surveillance software.</t>
  </si>
  <si>
    <t>Two — First contact</t>
  </si>
  <si>
    <t>Lumbayanague</t>
  </si>
  <si>
    <t>Layer</t>
  </si>
  <si>
    <t>132 of 287 barangays carry no registered facility; 23 of 24 municipalities exceed the 1:20,000 standard; 23 of 57 birthing homes are annexes of their own rural health unit.</t>
  </si>
  <si>
    <t>Geography</t>
  </si>
  <si>
    <t>A validated facility register that separates independent service points from annexes, then construction sequenced by unserved barangay.</t>
  </si>
  <si>
    <t>Vintage</t>
  </si>
  <si>
    <t>What it can carry</t>
  </si>
  <si>
    <t>Three — Payment</t>
  </si>
  <si>
    <t>How it fails here</t>
  </si>
  <si>
    <t>A — National statistical system PSA Census and PSGC; 2022 NDHS historical baseline; 2025 NDHS current key indicators; vital, poverty and health-accounts statistics</t>
  </si>
  <si>
    <t>The largest accredited base in BARMM — 91 accreditations, 23 of 24 RHUs — against a Konsulta return that does not separate this province from Maguindanao del Norte.</t>
  </si>
  <si>
    <t>Region and first-order unit</t>
  </si>
  <si>
    <t>The PhilHealth disaggregation, then claims capability at the units already accredited.</t>
  </si>
  <si>
    <t>2022–2026</t>
  </si>
  <si>
    <t>The only validated population denominators. Municipal values reconcile exactly to jurisdiction totals in all four volumes.</t>
  </si>
  <si>
    <t>Four — Referral</t>
  </si>
  <si>
    <t>Health outcomes remain regional. In the 2022 NDHS tables, 98 children and 188 births are weighted denominators; 180 children and 345 births are unweighted cases. The 2025 NDHS is the current benchmark for basic-antigen coverage and facility delivery. Neither survey provides municipal estimates for the four jurisdictions.</t>
  </si>
  <si>
    <t>B — Sectoral administrative | DOH LGU Health Scorecard; PhilHealth returns; DOH facility development plan</t>
  </si>
  <si>
    <t>0.67 hospital beds per 1,000; 55 per cent of them in one facility with an expired licence; 14 municipalities with neither a hospital nor an infirmary; no catchment map; referral completion reported by none of 24.</t>
  </si>
  <si>
    <t>Municipality; province for PhilHealth</t>
  </si>
  <si>
    <t>A written, adopted service-delivery network and a licence verification at the apex facility.</t>
  </si>
  <si>
    <t>2018–2024</t>
  </si>
  <si>
    <t>Five — The record</t>
  </si>
  <si>
    <t>The municipality-level administrative health data located for the three provinces.</t>
  </si>
  <si>
    <t>Filed under the abolished key "MAGUINDANAO" throughout. Facility-based delivery is a 2018 value. The Special Geographic Area returns zero matches across all seventeen annual scorecard sheets, 2006–2022.</t>
  </si>
  <si>
    <t>Full iClinicSys coverage and the region's best ICT, against 6 of 23 units with an FHSIS policy issuance and 6 of 21 focals in permanent posts; roughly four in five regional deaths unregistered.</t>
  </si>
  <si>
    <t>Permanent, funded FHSIS positions and a civil-registration push using the region's own devolved authority.</t>
  </si>
  <si>
    <t>C — Project-held facility register | DOH/HFSRB extract</t>
  </si>
  <si>
    <t>2024–2026</t>
  </si>
  <si>
    <t>SOURCE  ▸  SGA · (unlabelled) · §1 · p. 3</t>
  </si>
  <si>
    <t>The registry counts used as the common comparison basis — 242, 224, 222 and 68 — none of which any volume adopts as a validated register. Three counts are in circulation in two jurisdictions.</t>
  </si>
  <si>
    <t>Licensing status is null for 170 of 242 records in one province, 151 of 222 in another, 64 of 68 in the Area. Almost every licence validity date in the extract has passed — read as a stale snapshot, not as lapsed licences, but requiring verification.</t>
  </si>
  <si>
    <t>D — MOH-BARMM FHSIS unit assessment</t>
  </si>
  <si>
    <t>Rural health unit</t>
  </si>
  <si>
    <t>TITLE AS PRINTED  ▸  # 1. Executive Summary</t>
  </si>
  <si>
    <t>Nov–Dec 2025</t>
  </si>
  <si>
    <t>The only externally administered measure of reporting capacity. 68 units across the four jurisdictions.</t>
  </si>
  <si>
    <t>Three components are unusable across all 68 units and two scored fields are constants (§8.2). Coverage is 33, 11, 22 and 2 units respectively — two of eight Area municipalities.</t>
  </si>
  <si>
    <t>E — Local evidence base (EBDM)</t>
  </si>
  <si>
    <t>Barangay and facility</t>
  </si>
  <si>
    <t>Narrative testimony of unusual quality: named barangays without buildings, named travel times, ordinance-grade municipal diagnoses.</t>
  </si>
  <si>
    <t>Numeric fields are unsafe (§10). Record volume tracks drafting capacity, not need. Coverage is 57 of 84 units and no volume presents a total constructed by summing its own filers.</t>
  </si>
  <si>
    <t>SOURCE  ▸  BARMM · EXHIBIT 2 · §3 · p. 11</t>
  </si>
  <si>
    <t>Residents of the Special Geographic Area at the 2024 Census</t>
  </si>
  <si>
    <t>Barangays, every one of which carries a recorded service point</t>
  </si>
  <si>
    <t>TITLE AS PRINTED  ▸  The regional dashboard: what each jurisdiction can and cannot measure</t>
  </si>
  <si>
    <t>Service locations enumerated by the eight municipalities</t>
  </si>
  <si>
    <t>Facilities holding a PhilHealth accreditation</t>
  </si>
  <si>
    <t>Measure</t>
  </si>
  <si>
    <t>Hospitals, infirmaries or public inpatient beds in the area</t>
  </si>
  <si>
    <t>Licensed beds area-wide, in two private birthing homes</t>
  </si>
  <si>
    <t>Four together</t>
  </si>
  <si>
    <t>Facilities of 66 with a functional vaccine cold chain</t>
  </si>
  <si>
    <t>Local government units</t>
  </si>
  <si>
    <t>Children aged 12–23 months fully vaccinated in the territory</t>
  </si>
  <si>
    <t>SOURCE  ▸  SGA · EXHIBIT 1 · §1 · §1.2 · p. 3</t>
  </si>
  <si>
    <t>Population, 2024 Census</t>
  </si>
  <si>
    <t>Picong</t>
  </si>
  <si>
    <t>Barangays with a registered first-contact facility</t>
  </si>
  <si>
    <t>One | The illness</t>
  </si>
  <si>
    <t>No cause profile, no mortality rate, no morbidity ranking and no municipal series of any kind. Six of eight municipalities have never been assessed for their reporting apparatus. The one measurement of the population is a 2019 survey stratum whose frame does not match the territory.</t>
  </si>
  <si>
    <t>515 of 1,735 (29.7%; non-identical definitions)</t>
  </si>
  <si>
    <t>Extend the FHSIS assessment to all eight municipalities and establish the transmission route (Task 7). Determine where the area's civil registration function sits (§7.3).</t>
  </si>
  <si>
    <t>Registered facilities, all classes</t>
  </si>
  <si>
    <t>Two | First contact</t>
  </si>
  <si>
    <t>Yes — in all 63 barangays. 66 service points; 57 barangay stations; 6 rural health units on the municipalities' account and 9 on the register; 3 self-help structures; one completed building cordoned under a land claim; 6 functional cold chains.</t>
  </si>
  <si>
    <t>Adopt one register and resolve the two contested rural health units (Task 3). Establish a cold chain (Component 2).</t>
  </si>
  <si>
    <t>Rural health units held / required at 1:20,000</t>
  </si>
  <si>
    <t>Three | Payment</t>
  </si>
  <si>
    <t>Zero of 66 facilities is accredited, against 347 accreditations region-wide. No Konsulta provider. No PhilHealth income. On the available evidence the eight municipalities are not in the National Tax Allotment distribution. Three financing routes are closed simultaneously.</t>
  </si>
  <si>
    <t>Settle the licensing regime and apply (Task 2). Obtain a written determination on the fiscal regime (Task 1).</t>
  </si>
  <si>
    <t>Hospitals (any level) / LGUs holding one</t>
  </si>
  <si>
    <t>Four | Referral</t>
  </si>
  <si>
    <t>No hospital, no infirmary, no public bed. Four licensed beds area-wide, in two private birthing homes, on licences dated to 31 December 2025. 63 of 66 facilities record referral “up” only; every destination is outside the area. Referral completion: no observations.</t>
  </si>
  <si>
    <t>Publish a service-delivery network naming a receiving facility for each of the 63 barangays, and open a referral register (Task 5). Neither costs anything.</t>
  </si>
  <si>
    <t>Five | The record</t>
  </si>
  <si>
    <t>Acute inpatient beds / per 1,000</t>
  </si>
  <si>
    <t>1,022 / 0.75</t>
  </si>
  <si>
    <t>360 / 0.49</t>
  </si>
  <si>
    <t>The municipalities report 99.8 per cent reporting timeliness. The Ministry's assessment of the only two units it reached records “No report” on submission, completeness and timeliness. No civil registration figures exist.</t>
  </si>
  <si>
    <t>648 / 0.80</t>
  </si>
  <si>
    <t>0 / 0.00</t>
  </si>
  <si>
    <t>Establish the transmission route (Task 7). The recording habit is present; the link is not.</t>
  </si>
  <si>
    <t>2,030 / 0.65</t>
  </si>
  <si>
    <t>PhilHealth accreditations (of 347 region-wide)</t>
  </si>
  <si>
    <t>Konsulta conversion rate</t>
  </si>
  <si>
    <t>not reported for this province</t>
  </si>
  <si>
    <t>not computable</t>
  </si>
  <si>
    <t>Adults risk-assessed under PhilPEN</t>
  </si>
  <si>
    <t>not measured</t>
  </si>
  <si>
    <t>Administrative full-immunisation coverage (unweighted municipal means)</t>
  </si>
  <si>
    <t>2025 NDHS BARMM: 22.1% basic-antigen; 13.0% full national schedule. 2022 basic-antigen baseline: 18.1%.</t>
  </si>
  <si>
    <t>Pualas</t>
  </si>
  <si>
    <t>Tuberculosis detection ratio (derived)</t>
  </si>
  <si>
    <t>≈26–28%</t>
  </si>
  <si>
    <t>FHSIS mean capacity score, of 50</t>
  </si>
  <si>
    <t>68 units assessed</t>
  </si>
  <si>
    <t>GIDA / isolation determination</t>
  </si>
  <si>
    <t>D03 — DISEASE BURDEN AND SERVICE COVERAGE</t>
  </si>
  <si>
    <t>305 on the 2022 1,159-barangay source geography; current crosswalk pending</t>
  </si>
  <si>
    <t>not obtained</t>
  </si>
  <si>
    <t>14 tables reproduced verbatim from the five diagnostics. Each block is preceded by its locator: report code, table or exhibit label, section number, subsection number and the page printed in that report's own contents list.</t>
  </si>
  <si>
    <t>not obtained (HTTP 403)</t>
  </si>
  <si>
    <t>SOURCE  ▸  BARMM · TABLE 3 · §4 · p. 13</t>
  </si>
  <si>
    <t>available in one of four</t>
  </si>
  <si>
    <t>Municipalities recording a referral completion rate</t>
  </si>
  <si>
    <t>0 of 17 reporting</t>
  </si>
  <si>
    <t>0 of 12</t>
  </si>
  <si>
    <t>0 of 24</t>
  </si>
  <si>
    <t>0 of 8</t>
  </si>
  <si>
    <t>TITLE AS PRINTED  ▸  What the evidence establishes, and does not establish, about disease burden</t>
  </si>
  <si>
    <t>SOURCE  ▸  BARMM · TABLE 9 · §10 · p. 28</t>
  </si>
  <si>
    <t>Question</t>
  </si>
  <si>
    <t>What can be stated</t>
  </si>
  <si>
    <t>TITLE AS PRINTED  ▸  The parser and build issues, by jurisdiction</t>
  </si>
  <si>
    <t>What cannot be stated</t>
  </si>
  <si>
    <t>Leading causes of death</t>
  </si>
  <si>
    <t>Defect class</t>
  </si>
  <si>
    <t>What the pipeline did</t>
  </si>
  <si>
    <t>Cardiovascular disease is reported as the leading cause of mortality in each of the five ARMM provinces (World Bank, 2020, p. 144), on data the source itself records as incomplete.</t>
  </si>
  <si>
    <t>Where</t>
  </si>
  <si>
    <t>Any ranked list, share or count for any of the four jurisdictions. One volume prints a ranked table whose source attribution a second volume records as non-existent.</t>
  </si>
  <si>
    <t>Consequence</t>
  </si>
  <si>
    <t>Ratio strings read as headcounts</t>
  </si>
  <si>
    <t>Leading causes of morbidity</t>
  </si>
  <si>
    <t>A worksheet cell reading "Doctor: 1:36,548" was shredded on the comma and stored as 36 doctors. Another read a ratio of 1:25,963 as headcounts of 25 and 963. Twelve rows in one municipality store "BHW = 3.96" as a headcount. 167 cadre records resolve to 653 staff.</t>
  </si>
  <si>
    <t>Nothing at jurisdiction level from any accessible official source.</t>
  </si>
  <si>
    <t>All four</t>
  </si>
  <si>
    <t>Everything. No accessible source publishes it below the region.</t>
  </si>
  <si>
    <t>A provincial workforce table of 36,363 staff for 813,243 residents — one health worker per twenty-two people — and an apparent best-staffed system in the Bangsamoro at 27.8 skilled staff per 10,000. No workforce or HR-density figure from the pipeline is used anywhere in the series.</t>
  </si>
  <si>
    <t>Registered deaths</t>
  </si>
  <si>
    <t>Checklist strings read as percentages</t>
  </si>
  <si>
    <t>A cell reading "6 out of 8 (75%) – stockout of essential medicines – no water testing" stored the numerator 6 as a percentage. Another read "5 out of 8 (63%)" as five per cent.</t>
  </si>
  <si>
    <t>BARMM registered 6,577 deaths in 2023 and 5,552 in 2024. The 5,691,583 census denominator is the 1 July 2024 geography including Sulu; current PSA BARMM planning geography totals 4,545,486. The registered counts are not adjusted for under-registration and do not establish completeness.</t>
  </si>
  <si>
    <t>MDS, MDN</t>
  </si>
  <si>
    <t>Any mortality rate, cause profile, maternal mortality ratio or infant mortality rate for any of the four. PSA states the figures are not adjusted for under-registration.</t>
  </si>
  <si>
    <t>Equipment readiness understated by a factor of 12.5 and the municipal ranking reversed; the correct value sits in the same workbook’s systems map. One municipality’s composite score is depressed by the same error.</t>
  </si>
  <si>
    <t>Child survival</t>
  </si>
  <si>
    <t>Revenue magnitude and separator errors</t>
  </si>
  <si>
    <t>One build divided one revenue figure by a thousand and another by a million. Another lost ₱15.17 million to a space-after-comma thousands format across five records. A third dropped an entire municipality’s eight revenue records because each figure was followed by narrative text in the same cell.</t>
  </si>
  <si>
    <t>BARMM neonatal mortality 8 per 1,000 live births against a national 15; post-neonatal 12 against 7 — 71 per cent above national; under-five 28 per 1,000, fourth highest of seventeen regions (NDHS 2022).</t>
  </si>
  <si>
    <t>Any jurisdiction-level rate or causal interpretation. The 2022 regional mortality pattern is historical and cannot by itself establish under-ascertainment or the binding clinical constraint.</t>
  </si>
  <si>
    <t>A published province-wide revenue potential of ₱214,250 against at least ₱25.7 million stated in the municipalities’ own worksheets — 0.8 per cent captured. A published ₱2,185,652 against a correct sum of its own five inputs of ₱4,035,400.</t>
  </si>
  <si>
    <t>Measles, 2023–2024</t>
  </si>
  <si>
    <t>Coverage and lineage failures</t>
  </si>
  <si>
    <t>Region-wide outbreak declared by MOH-BARMM on 21 March 2024, following a local outbreak declared in Lanao del Sur and Marawi City on 9 October 2023. UNICEF recorded 592 confirmed BARMM cases in the first eleven weeks of 2024 — 77 per cent of all confirmed Philippine cases. To 17 April 2024, 2,064 confirmed BARMM cases and 14 deaths.</t>
  </si>
  <si>
    <t>One provincial dashboard was built from two of twenty-four municipalities, read out of the other province’s "Sample Worksheets for Reference" folder; 19 of 21 available workbooks were never opened. Another omits one municipality, files a second’s seventeen records under a third’s code, reproduces one municipality’s improvement plan inside another’s row, and carries 23 records belonging to a municipality of the neighbouring province.</t>
  </si>
  <si>
    <t>Any figure for the Special Geographic Area, and any figure separating the two Maguindanao provinces: the only provincial breakdown available reports 427 cases and 3 deaths for the undivided province of Maguindanao, nineteen months after its legal division.</t>
  </si>
  <si>
    <t>Every provincial average, benchmark and BARMM comparison in one dashboard is a two-municipality statistic presented as provincial. Coverage was achieved in the other; integrity was not.</t>
  </si>
  <si>
    <t>Tuberculosis</t>
  </si>
  <si>
    <t>Join and key failures</t>
  </si>
  <si>
    <t>The string "SHARIFF AGUAK (CAPITAL)" was never mapped to PSGC 1908820000, so all ten of the provincial capital’s facility records carry null population, barangay and unit identifiers.</t>
  </si>
  <si>
    <t>The capital is orphaned from every join: 81 supplemental issue records and 8 planning priorities lost, including five ordinance-grade policy blocks, while its municipal summary row reads "profile available: false" with all counts zero — the lowest in the province, on the richest submission filed in it.</t>
  </si>
  <si>
    <t>Fill-down and duplication</t>
  </si>
  <si>
    <t>One municipality’s 34 facility rows were all marked PhilHealth-accredited by fill-down across five distinct facility names. Elsewhere 263 supplemental issue records resolve to 139 distinct problems; root cause is null on 99 rows.</t>
  </si>
  <si>
    <t>LDS, MDS</t>
  </si>
  <si>
    <t>Any count of "gaps" overstates substance by roughly a factor of two, and at least one accreditation status is unusable.</t>
  </si>
  <si>
    <t>Unit and type confusion</t>
  </si>
  <si>
    <t>A referral-turnaround column mixes minutes, hours and days, with six records reading "CONNOT BE DETERMINED". A data-reporting metric of 32.1 per cent was produced by parsing "30 mins / 40 mins / 25 mins" as percentages. Data-completeness values of 1 and 1.0 were mapped to 100 in 29 records.</t>
  </si>
  <si>
    <t>No provincial median turnaround is computable in one province; one entity’s composite ranking is an artefact of a travel-time column.</t>
  </si>
  <si>
    <t>SOURCE  ▸  LDS · TABLE 2 · §2 · p. 8</t>
  </si>
  <si>
    <t>TITLE AS PRINTED  ▸  Completion of required worksheet outputs across the cohort</t>
  </si>
  <si>
    <t>Required output</t>
  </si>
  <si>
    <t>Submitted</t>
  </si>
  <si>
    <t>Not submitted</t>
  </si>
  <si>
    <t>D04 — FIRST CONTACT, FACILITIES AND CATCHMENT</t>
  </si>
  <si>
    <t>Completion rate</t>
  </si>
  <si>
    <t>Notification rates are measurable at municipal level in all three provinces: 162.9, 158.7 and 163.29 per 100,000. Against WHO Philippine incidence estimates of 632 per 100,000 (2024, used by Lanao del Sur) and 625 per 100,000 (2025, 95% UI 344–1,020, used by the two Maguindanao provinces), implied detection is 25.7, 27.7 and 26.3 per cent.</t>
  </si>
  <si>
    <t>Health systems map</t>
  </si>
  <si>
    <t>24 tables reproduced verbatim from the five diagnostics. Each block is preceded by its locator: report code, table or exhibit label, section number, subsection number and the page printed in that report's own contents list.</t>
  </si>
  <si>
    <t>15 of 17</t>
  </si>
  <si>
    <t>Any figure for the Special Geographic Area. The detection ratios are order-of-magnitude derivations only: the WHO uncertainty interval spans a factor of three.</t>
  </si>
  <si>
    <t>Facility and system parameter inventory</t>
  </si>
  <si>
    <t>SOURCE  ▸  BARMM · EXHIBIT 3 · §4 · p. 13</t>
  </si>
  <si>
    <t>Calanogas</t>
  </si>
  <si>
    <t>Priority gaps and solutions matrix</t>
  </si>
  <si>
    <t>16 of 17</t>
  </si>
  <si>
    <t>Two-year improvement roadmap</t>
  </si>
  <si>
    <t>TITLE AS PRINTED  ▸  | 84local government units infour jurisdictions | | 3,137,511 residents, 2024 Census — 55.1% of the 1 July 2024 BARMM-with-Sulu total; 69.0% of current BARMM | | 1,735 current barangays | | 756registered health facilitieson the registry basis |</t>
  </si>
  <si>
    <t>TITLE AS PRINTED  ▸  Adults risk-assessed under PhilPEN, by jurisdiction</t>
  </si>
  <si>
    <t>SOURCE  ▸  LDS · TABLE 1 · §2 · §2.2 · p. 8</t>
  </si>
  <si>
    <t>TITLE AS PRINTED  ▸  The five evidence layers and what each can carry</t>
  </si>
  <si>
    <t>0referral completion ratesrecorded, region-wide</t>
  </si>
  <si>
    <t>8officers trained in ICDcoding, all four jurisdictions</t>
  </si>
  <si>
    <t>Adults risk-assessed</t>
  </si>
  <si>
    <t>0.65acute inpatient bedsper 1,000 residents</t>
  </si>
  <si>
    <t>Municipal range</t>
  </si>
  <si>
    <t>Never assessed</t>
  </si>
  <si>
    <t>229of the region’s 347 PhilHealthaccreditations</t>
  </si>
  <si>
    <t>How it fails</t>
  </si>
  <si>
    <t>Lowest-screening units</t>
  </si>
  <si>
    <t>A. National statistical systemPSA census and PSGC; 2022 NDHS historical baseline; 2025 NDHS current key indicators; vital, poverty and health-accounts statistics</t>
  </si>
  <si>
    <t>Region and province; population to municipality</t>
  </si>
  <si>
    <t>2020–2026</t>
  </si>
  <si>
    <t>Population denominators; health outcomes and service coverage at regional level; poverty; wealth distribution</t>
  </si>
  <si>
    <t>Never disaggregates health outcomes below the region. The NDHS 2022 BARMM sample uses pre-2019 boundaries and excludes the Special Geographic Area.</t>
  </si>
  <si>
    <t>B. Sectoral administrative systemsDOH LGU Health Scorecard; DOH facility registry and GIDA register; PhilHealth returns; DOH facility development plan</t>
  </si>
  <si>
    <t>0.00 – 10.1%</t>
  </si>
  <si>
    <t>2019–2024</t>
  </si>
  <si>
    <t>95.7% of adults 20+</t>
  </si>
  <si>
    <t>The only municipality-level health and facility data that exists for this province</t>
  </si>
  <si>
    <t>28 of 40 municipalities under 5%; 14 under 1%; two at exactly zero</t>
  </si>
  <si>
    <t>Self-reported by the reporting unit. Missing values, implausible values and non-reporting are recorded identically. Registry coverage is incomplete.</t>
  </si>
  <si>
    <t>C. Project-held facility registerDOH/MOH administrative extract of 8 August 2026, 242 Lanao del Sur registrations</t>
  </si>
  <si>
    <t>Facility, with municipality</t>
  </si>
  <si>
    <t>Named facilities, ownership, bed complement, licence status</t>
  </si>
  <si>
    <t>Licence status is null for 170 of 242 records. Registry omissions are demonstrable — one municipality shows zero health stations against 44 mapped service points.</t>
  </si>
  <si>
    <t>0.42 – 11.16%</t>
  </si>
  <si>
    <t>D. BARMM FHSIS assessmentMinistry of Health instrument on the condition of routine reporting; 24 Lanao del Sur local government units returning the unit-and-resourcing survey, 33 rural health units in the reporting-performance assessment</t>
  </si>
  <si>
    <t>96.0% of adults 20+</t>
  </si>
  <si>
    <t>Rural health unit, within 24 of 40 LGUs</t>
  </si>
  <si>
    <t>2025–2026</t>
  </si>
  <si>
    <t>12 of 24 under 3%; four under 1% — Datu Piang, Datu Abdullah Sangki, Datu Anggal Midtimbang, Pagagawan</t>
  </si>
  <si>
    <t>What the gap actually is</t>
  </si>
  <si>
    <t>Whether the reporting apparatus exists at all — dedicated FHSIS unit, budget line, permanence of the focal post, analysis capability, timeliness and completeness</t>
  </si>
  <si>
    <t>Two scored fields are constant across every Lanao del Sur unit and are measurements in name only. Coverage is 24 of 40 LGUs. Self-reported by the reporting unit.</t>
  </si>
  <si>
    <t>The correct instrument</t>
  </si>
  <si>
    <t>E. Local evidence base (EBDM)Workshop cycle output for 16 LGUs and the Integrated Provincial Health Office; 407 service-location records; 129 priority entries; 140 plan actions (parser: 128 and 145)</t>
  </si>
  <si>
    <t>Barangay, within 16 of 40 LGUs</t>
  </si>
  <si>
    <t>0.33 – 9.51%</t>
  </si>
  <si>
    <t>1,164 current</t>
  </si>
  <si>
    <t>Conditions at the point of service that no national system records: cold-chain status, equipment, referral experience, local policy gaps, the province’s own diagnosis of itself</t>
  </si>
  <si>
    <t>≈398,000 adults (derived)</t>
  </si>
  <si>
    <t>Covers 40 per cent of local government units. Record volume tracks drafting capacity, not need. Template residue is present in 29 per cent of plan rows.</t>
  </si>
  <si>
    <t>SOURCE  ▸  LDS · (unlabelled) · §2 · §2.4 · p. 9</t>
  </si>
  <si>
    <t>7 of 12 under 2%; four under 1%; Northern Kabuntalan 0.33%</t>
  </si>
  <si>
    <t>TITLE AS PRINTED  ▸  The 407 cleaned service-location records filed by fifteen local government units, resolved into three components. Source: EBDM worksheet package, 20260629.</t>
  </si>
  <si>
    <t>not measurable</t>
  </si>
  <si>
    <t>WHAT THE EBDM RECORD ESTABLISHES185 of 407 service-location records (45.5 percent) report no dedicated facility; a further 48 do not establish facility status, and separately 89 rows carry a “self-help” label, of which 83 sit on records that also report no dedicated facility.Cold chain: 242 of 407 records report none; 67 report functional. Masiu reports functionality at 0.028; Mulondo reports 86 percent of its stations unable to store vaccine; Lumba-Bayabao reports cold chain in the rural health unit only.Referral experience: median reported travel time approximately 20 minutes, though 30 records exceed one hour and Marawi City reports a median turnaround above 24 hours.Local policy: Tagoloan II reports a functional health board and no local health ordinance of any kind; Piagapo reports no ordinance for outreach to its nine isolated barangays.The province’s own diagnosis: the Integrated Provincial Health Office identifies incomplete UHC implementation, low primary-care utilization, PhilHealth non-membership of roughly half the indigent population, fragmented vertical programs, HRH shortage, capacity gaps and chronic supply stock-outs.</t>
  </si>
  <si>
    <t>No NCD screening coverage figure exists for the Area or any of its eight municipalities</t>
  </si>
  <si>
    <t>WHAT IT CANNOT CARRYCoverage extends to 16 of 40 LGUs — 53.8 percent of population, 47.5 percent of barangays, and 101 of 305 isolated barangays.Record volume appears to track drafting capacity more closely than need. Tamparan filed 44 facility rows and zero plan actions; Buadiposo-Buntong filed five rows and scored highest in the province. Record counts are therefore an unreliable basis for targeting.Template residue. Six of 17 units share an identical top-five priority list, and 42 of 145 plan rows (29 percent) are verbatim boilerplate. Two municipalities submitted boilerplate only, which points to a template issue rather than to the units concerned.Known parser defects. One municipality’s 34 facility rows are all marked PhilHealth-accredited by fill-down over five distinct names; one workforce sheet read ratio strings as headcounts; one revenue figure was parsed 10⁶ too small.Twenty-seven quality-control flags remain open, including two workbooks whose accreditation-status and workforce sheets were not ingested.</t>
  </si>
  <si>
    <t>Tubaran</t>
  </si>
  <si>
    <t>SOURCE  ▸  MDN · TABLE 1 · §2 · p. 8</t>
  </si>
  <si>
    <t>SOURCE  ▸  LDS · TABLE 2 · §3 · §3.1 · p. 11</t>
  </si>
  <si>
    <t>TITLE AS PRINTED  ▸  Leading causes of morbidity and mortality, Lanao del Sur</t>
  </si>
  <si>
    <t>Health systems map (Worksheet 1b)</t>
  </si>
  <si>
    <t>90.5% registered | 100% enumerated</t>
  </si>
  <si>
    <t>Facility and system parameter inventory (Worksheet 1a)</t>
  </si>
  <si>
    <t>Historical DOH-ARMM list order</t>
  </si>
  <si>
    <t>Historical DOH-ARMM regional morbidity list</t>
  </si>
  <si>
    <t>Priority gaps and solutions matrix (Worksheet 2)</t>
  </si>
  <si>
    <t>Historical DOH-ARMM regional mortality list</t>
  </si>
  <si>
    <t>Illustrative primary-care response; not an LDS burden ranking</t>
  </si>
  <si>
    <t>Two-year improvement roadmap (Worksheet 3)</t>
  </si>
  <si>
    <t>Influenza / upper respiratory infection</t>
  </si>
  <si>
    <t>SOURCE  ▸  MDN · TABLE 2 · §2 · §2.1 · p. 8</t>
  </si>
  <si>
    <t>Cerebrovascular accident (stroke)</t>
  </si>
  <si>
    <t>Blood-pressure screening at first contact; four generic antihypertensives held in stock</t>
  </si>
  <si>
    <t>Essential hypertension</t>
  </si>
  <si>
    <t>Diseases of the heart</t>
  </si>
  <si>
    <t>As above, plus statin availability and a functioning referral clock</t>
  </si>
  <si>
    <t>Skin diseases</t>
  </si>
  <si>
    <t>A. National statistical system PSA census and PSGC; 2022 NDHS historical baseline; 2025 NDHS current key indicators; vital and poverty statistics</t>
  </si>
  <si>
    <t>Pneumonia</t>
  </si>
  <si>
    <t>Antibiotic availability; pediatric case management at barangay level</t>
  </si>
  <si>
    <t>Denominators; regional survey estimates of coverage, delivery and sanitation; poverty with a coefficient of variation</t>
  </si>
  <si>
    <t>Carries Cotabato City inside the PSA provincial total. In the 2022 NDHS tables, 98 children are the weighted denominator and 180 are unweighted cases. The 2025 NDHS is the current regional benchmark for basic-antigen coverage and facility delivery.</t>
  </si>
  <si>
    <t>B. Sectoral administrative systemsDOH LGU Health Scorecard municipal dataset; PhilHealth returns</t>
  </si>
  <si>
    <t>Diarrhea / acute gastroenteritis</t>
  </si>
  <si>
    <t>Cancer (all forms)</t>
  </si>
  <si>
    <t>31 of 40</t>
  </si>
  <si>
    <t>Pagayawan</t>
  </si>
  <si>
    <t>Water and sanitation; oral rehydration and zinc at barangay level</t>
  </si>
  <si>
    <t>The only municipality-level outcome and governance indicators that exist for this province</t>
  </si>
  <si>
    <t>Files all twelve municipalities under the abolished province of “Maguindanao.” Series terminate at 2018 for delivery and sanitation. Konsulta is not disaggregated post-split.</t>
  </si>
  <si>
    <t>C. National facility registryDOH/NHFR active-facilities extract held by the programme</t>
  </si>
  <si>
    <t>Hypovolaemic shock from gunshot wound</t>
  </si>
  <si>
    <t>2024–2025</t>
  </si>
  <si>
    <t>Emergency transport and blood; a trauma-capable receiving facility</t>
  </si>
  <si>
    <t>Facility identity, type, ownership, bed complement and licence status</t>
  </si>
  <si>
    <t>Licensing status is null for 76.6 per cent of records; every licence date in the extract has passed; eleven rural health unit birthing annexes are typed as independent facilities.</t>
  </si>
  <si>
    <t>11 of 12</t>
  </si>
  <si>
    <t>D. MOH-BARMM FHSIS assessmentRHU reporting capability and performance instrument</t>
  </si>
  <si>
    <t>Diabetes mellitus</t>
  </si>
  <si>
    <t>Rural health unit; 11 of 12 municipalities</t>
  </si>
  <si>
    <t>The condition of routine reporting: units, budget lines, focal status, equipment, training, timeliness</t>
  </si>
  <si>
    <t>Screening; metformin; retinal and foot review</t>
  </si>
  <si>
    <t>Sultan Mastura’s record is mis-keyed to Sultan Kudarat and drops out of every provincial pivot. Covers only four of BARMM’s seven areas. Two scored fields are constants.</t>
  </si>
  <si>
    <t>E. Local evidence base (EBDM)Workshop cycle output, 20260629 package</t>
  </si>
  <si>
    <t>Urinary tract infection</t>
  </si>
  <si>
    <t>Barangay; 12 of 12 municipalities</t>
  </si>
  <si>
    <t>23 of 24</t>
  </si>
  <si>
    <t>Accidents (all forms)</t>
  </si>
  <si>
    <t>Conditions at the point of service — cold chain, equipment, referral time, self-help status, local instruments</t>
  </si>
  <si>
    <t>Diagnostics at rural health unit level</t>
  </si>
  <si>
    <t>The consolidated product omits Buldon, mislabels Kabuntalan, and copies one municipality’s plan into another’s. Cold chain is unreported for 73.7 per cent of records.</t>
  </si>
  <si>
    <t>SOURCE  ▸  MDN · (unlabelled) · §2 · §2.3 · p. 8</t>
  </si>
  <si>
    <t>Gastritis / hyperacidity</t>
  </si>
  <si>
    <t>Kidney failure</t>
  </si>
  <si>
    <t>2 / 5</t>
  </si>
  <si>
    <t>Dialysis access — the province holds one free-standing dialysis clinic</t>
  </si>
  <si>
    <t>5 of 8</t>
  </si>
  <si>
    <t>TITLE AS PRINTED  ▸  ## 2.3 What the workshop record establishes, and what it cannot carry</t>
  </si>
  <si>
    <t>Bronchial asthma</t>
  </si>
  <si>
    <t>Diarrhea with severe dehydration</t>
  </si>
  <si>
    <t>WHAT THE EBDM RECORD ESTABLISHESCoverage. All twelve municipalities participated — the only complete provincial cohort in the programme. 207 cleaned service-location records, 96 substantive priority-gap statements and 61 substantive two-year actions.Corroboration of the registry. 207 worksheet service locations against 224 registry records for the same twelve municipalities. Two independent instruments within 8 per cent of one another.Referral experience. 226 records carry a parseable travel time; median 21 minutes. Datu Blah T. Sinsuat reports 1.5 to 4.5 hours from station to rural health unit for eight of its thirteen stations.Access gaps stated by the unit itself. 29 service locations are self-help or record no facility, twelve of them in Sultan Kudarat.Local instruments. 24 legislative references across 10 municipalities — of which exactly two are described as already in force.</t>
  </si>
  <si>
    <t>Salbutamol; oral rehydration</t>
  </si>
  <si>
    <t>WHAT IT CANNOT CARRYAny headcount or human-resource density. The HR fields hold staffing rosters, staffing standards and population ratios in the same column. A ratio of 1:25,963 was parsed as a headcount of 25 followed by a headcount of 963.Any revenue figure. Five facilities in the province report a revenue potential. One was divided by a thousand and another by a million in the consolidated build. The published provincial total understates its own inputs by 46 per cent.Cold chain at facility level. Blank for 73.7 per cent of workbook records and for 151 of the 207 provincial service locations, and the category “Partial” was never once used in the entire province.Equipment readiness. The column mixes proportions, percentages, fractions and, in twenty-nine rows, the definition of the indicator pasted into the numeric field.Any composite ranking. Parang ranks first at 90.0 on a single facility record and five of nine components. The ranking is not adopted anywhere in this report.Civil registration. Absent from all 188 gap and plan records filed by the twelve municipalities, and from all 232 records in the provincial workbook. Not a finding about performance; a finding about what the province is not looking at.</t>
  </si>
  <si>
    <t>Rheumatoid arthritis</t>
  </si>
  <si>
    <t>70 of 84</t>
  </si>
  <si>
    <t>SOURCE  ▸  MDN · TABLE 5 · §4A · p. 21</t>
  </si>
  <si>
    <t>SOURCE  ▸  LDS · (unlabelled) · §4 · §4.0 · p. 17</t>
  </si>
  <si>
    <t>TITLE AS PRINTED  ▸  The province with and without the City of Cotabato</t>
  </si>
  <si>
    <t>SOURCE  ▸  LDS · EXHIBIT 2 · §3 · §3.2 · p. 12</t>
  </si>
  <si>
    <t>Twelve municipalities</t>
  </si>
  <si>
    <t>PSA provincial total</t>
  </si>
  <si>
    <t>TITLE AS PRINTED  ▸  Facility counts and travel times answer different questions, and the province needs both. A registration is not a building, a building within reach is not an open service, and an open service is not necessarily ready to treat the patient in front of it. The multimodal accessibility model of 8 August 2026 separates these questions for the first time. Its central result is that physical proximity is not, on the assumptions used, the constraint that binds for most of Lanao del Sur. Section 4.3 sets out a consistency test that qualifies how far that result can be carried.</t>
  </si>
  <si>
    <t>What the city accounts for</t>
  </si>
  <si>
    <t>TITLE AS PRINTED  ▸  Child deaths in BARMM fall after the first month rather than during it</t>
  </si>
  <si>
    <t>Amai Manabilang</t>
  </si>
  <si>
    <t>34.1 per cent of the published total</t>
  </si>
  <si>
    <t>115,535physically unserved at 30 minutescentral multimodal scenario9.7% of the 1,195,518 modeled base</t>
  </si>
  <si>
    <t>NEONATAL WINDOW — FIRST 28 DAYSBARMM: 8 deaths per 1,000 live birthsPhilippines: 15 per 1,000BARMM is below the national rate.This window is governed by obstetric care, skilled attendance at birth and newborn resuscitation.Not the binding constraint.</t>
  </si>
  <si>
    <t>POST-NEONATAL WINDOW — MONTHS 1 TO 12BARMM: 12 deaths per 1,000 live birthsPhilippines: 7 per 1,000BARMM is 71 percent above the national rate.This window is governed by immunization, infection control, nutrition, and water and sanitation.This is where the deaths are.</t>
  </si>
  <si>
    <t>37 barangays</t>
  </si>
  <si>
    <t>170,246population-equivalent effective-access losswhere facility readiness could be scored</t>
  </si>
  <si>
    <t>838,972physically served, readiness unknownan evidence gap, not a findingof non-readiness</t>
  </si>
  <si>
    <t>SOURCE  ▸  LDS · EXHIBIT 4 · §3 · §3.4 · p. 15</t>
  </si>
  <si>
    <t>79 facilities, 26.1 per cent</t>
  </si>
  <si>
    <t>SOURCE  ▸  LDS · TABLE A · §4 · §4.3 · p. 20</t>
  </si>
  <si>
    <t>512 beds, 58.7 per cent</t>
  </si>
  <si>
    <t>TITLE AS PRINTED  ▸  The measles chain: a survey finding, an outbreak, and thirteen deaths</t>
  </si>
  <si>
    <t>Licensed beds per 1,000 residents</t>
  </si>
  <si>
    <t>TITLE AS PRINTED  ▸  The modeled gap does not vary with facility supply</t>
  </si>
  <si>
    <t>The ratio rises by 60 per cent</t>
  </si>
  <si>
    <t>Private hospital beds</t>
  </si>
  <si>
    <t>Every private bed in the province</t>
  </si>
  <si>
    <t>Association tested against the modeled unserved share</t>
  </si>
  <si>
    <t>When</t>
  </si>
  <si>
    <t>Registered laboratory facilities</t>
  </si>
  <si>
    <t>Pearson r</t>
  </si>
  <si>
    <t>What was measured or happened</t>
  </si>
  <si>
    <t>Spearman r</t>
  </si>
  <si>
    <t>The figure</t>
  </si>
  <si>
    <t>18 of 21 laboratories, 85.7 per cent</t>
  </si>
  <si>
    <t>Tier</t>
  </si>
  <si>
    <t>Barangays per registered supply point</t>
  </si>
  <si>
    <t>Hospitals at Level 2 or above (registry)</t>
  </si>
  <si>
    <t>May–Jun 2022</t>
  </si>
  <si>
    <t>−0.217</t>
  </si>
  <si>
    <t>NDHS 2022 fieldwork</t>
  </si>
  <si>
    <t>The region’s only Level III hospital and one Level II</t>
  </si>
  <si>
    <t>−0.317</t>
  </si>
  <si>
    <t>PhilHealth-accredited institutions</t>
  </si>
  <si>
    <t>Historical BARMM baseline: MCV 21.9%; basic-antigen 18.1%; zero-dose 59.9%. Weighted n = 98; unweighted cases = 180.</t>
  </si>
  <si>
    <t>Registered supply points per 10,000 population</t>
  </si>
  <si>
    <t>'+0.127</t>
  </si>
  <si>
    <t>'+0.255</t>
  </si>
  <si>
    <t>Reported separately by PhilHealth</t>
  </si>
  <si>
    <t>2021–2022</t>
  </si>
  <si>
    <t>Municipal administrative returns, Lanao del Sur</t>
  </si>
  <si>
    <t>GIDA barangays as a share of all barangays</t>
  </si>
  <si>
    <t>Provincial fully immunized child coverage 80.4 percent; municipal returns range from 6.6 to 113.9 percent, with six municipalities above 100 percent.</t>
  </si>
  <si>
    <t>'+0.514</t>
  </si>
  <si>
    <t>SOURCE  ▸  MDN · EXHIBIT 8 · §4A · p. 21</t>
  </si>
  <si>
    <t>'+0.526</t>
  </si>
  <si>
    <t>BARMM administrative immunization coverage</t>
  </si>
  <si>
    <t>SOURCE  ▸  LDS · (unlabelled) · §4 · §4.5 · p. 22</t>
  </si>
  <si>
    <t>First measles dose 60 percent; second dose 51 percent.</t>
  </si>
  <si>
    <t>29 Apr 2023</t>
  </si>
  <si>
    <t>First documented measles symptoms</t>
  </si>
  <si>
    <t>Sultan Dumalondong</t>
  </si>
  <si>
    <t>TITLE AS PRINTED  ▸  ## 4.5 What the model assumes, and what it cannot see</t>
  </si>
  <si>
    <t>In Lanao del Sur.</t>
  </si>
  <si>
    <t>TITLE AS PRINTED  ▸  What Cotabato City is worth to the provincial averages</t>
  </si>
  <si>
    <t>9 Oct 2023</t>
  </si>
  <si>
    <t>Local outbreak declared</t>
  </si>
  <si>
    <t>Lanao del Sur and Marawi City; emergency operations centers activated. Peak October–November 2023.</t>
  </si>
  <si>
    <t>HOW DEMAND AND SUPPLY WERE REPRESENTED1,159 demand nodes against 184 supply points (barangay health stations and rural health units).96 barangays matched named settlement nodes; 1,037 use building-cluster proxy points; 26 retain administrative centroids.Five official barangays are absent from the 2020 routeable layer — the difference between the 1,164 administrative barangays and the 1,159 modeled nodes.Nine lake-side or off-road points carry a water-crossing sensitivity.Eleven low-confidence routed barangays were re-snapped to improved settlement points; fifteen remain field-confirmation items.</t>
  </si>
  <si>
    <t>WHAT THE MODEL DOES NOT ESTABLISHNo household population surface. No usable census-block or WorldPop layer was available, so no node is population-weighted within the barangay; a dispersion sensitivity is applied instead.No transport service data. Public route schedules, fares, seasonal reliability and emergency availability are not in the open data used.No 2024 barangay allocation. The 2024 equivalents are proportional scalings of the 2020 result, not measurements.No facility operating status. A supply point is treated as available if it is registered; opening hours, staffing days and temporary closure are not modeled.Readiness for 838,972 people. See §4.4.</t>
  </si>
  <si>
    <t>21 Mar 2024</t>
  </si>
  <si>
    <t>Region-wide outbreak declared by MOH-BARMM</t>
  </si>
  <si>
    <t>Beds per 1,000 residents (×100)</t>
  </si>
  <si>
    <t>592 confirmed BARMM cases in the first eleven weeks of 2024 — 77 percent of all confirmed Philippine cases.</t>
  </si>
  <si>
    <t>SOURCE  ▸  LDS · (unlabelled) · §4 · §4.6 · p. 23</t>
  </si>
  <si>
    <t>|</t>
  </si>
  <si>
    <t>2 May 2024</t>
  </si>
  <si>
    <t>:-:</t>
  </si>
  <si>
    <t>Provincial position</t>
  </si>
  <si>
    <t>Lanao del Sur: 1,300 reported cases and 13 deaths, all in unvaccinated children. Catch-up campaign reached 171,315 children against a target of 271,425 — 63 percent — across 39 municipalities.</t>
  </si>
  <si>
    <t>TITLE AS PRINTED  ▸  Section 17 of the Local Government Code devolves primary health care to the municipality, and national facility planning carries an expectation of one barangay health station per barangay. The PHFDP 2020 baseline measured the then-ARMM/BARMM footprint at 650 stations against 2,535 barangays, a ratio of 0.3 and a historical gap of 1,885 stations (Department of Health, 2020b, Table 6). This is a dated planning baseline, not the current 2026 regional denominator. On current PSA geography Lanao del Sur has 1,164 barangays; the project-held register matches 128 stations, subject to reconciliation.</t>
  </si>
  <si>
    <t>Latest NDHS key indicators</t>
  </si>
  <si>
    <t>BARMM basic-antigen coverage 22.1%; full national-schedule coverage 13.0%. The reviewed release does not state an exact BARMM zero-dose value.</t>
  </si>
  <si>
    <t>1,164barangays</t>
  </si>
  <si>
    <t>12 municipalities 0.49</t>
  </si>
  <si>
    <t>SOURCE  ▸  MDN · TABLE 3 · §3 · §3.1 · p. 11</t>
  </si>
  <si>
    <t>128station registrations</t>
  </si>
  <si>
    <t>0.12registrations per barangay</t>
  </si>
  <si>
    <t>SOURCE  ▸  LDS · TABLE 4 · §4 · §4.7 · p. 23</t>
  </si>
  <si>
    <t>PSA province 0.78</t>
  </si>
  <si>
    <t>Registered laboratories</t>
  </si>
  <si>
    <t>What can be stated, and on what</t>
  </si>
  <si>
    <t>Cardiovascular disease is reported as the leading cause of mortality in each of the five pre-2022 BARMM provinces (World Bank, 2020, p. 144).</t>
  </si>
  <si>
    <t>TITLE AS PRINTED  ▸  First-contact infrastructure by municipality, ranked by population</t>
  </si>
  <si>
    <t>Any ranked provincial cause list, any rate, any year. No provincial mortality table exists in this evidence base.</t>
  </si>
  <si>
    <t>Tagoloan II</t>
  </si>
  <si>
    <t>12 municipalities 3</t>
  </si>
  <si>
    <t>Leading causes of illness</t>
  </si>
  <si>
    <t>Tuberculosis notification is measured at municipal level (158.7 per 100,000, mean of twelve). Stunting, underweight and PhilPEN screening are measured at municipal level.</t>
  </si>
  <si>
    <t>A ranked morbidity list. The FHSIS file in this project contains no morbidity data.</t>
  </si>
  <si>
    <t>Non-communicable disease burden</t>
  </si>
  <si>
    <t>Detection is measurable and is 2.47 per cent of adults. Service readiness was the highest in BARMM in 2017 (62.4 per cent).</t>
  </si>
  <si>
    <t>Prevalence of hypertension or diabetes. No population survey measures these at provincial level.</t>
  </si>
  <si>
    <t>PSA province 21</t>
  </si>
  <si>
    <t>Regional neonatal and post-neonatal patterns from NDHS 2022; regional zero-dose share of 59.9 per cent; provincial vaccination history from the 2019 household survey.</t>
  </si>
  <si>
    <t>Pop 2024</t>
  </si>
  <si>
    <t>Any provincial infant or under-five mortality rate. The numerator is unregistered and the denominator unpublished.</t>
  </si>
  <si>
    <t>Brgys</t>
  </si>
  <si>
    <t>GIDA brgys</t>
  </si>
  <si>
    <t>Maternal mortality</t>
  </si>
  <si>
    <t>RHU</t>
  </si>
  <si>
    <t>Parang states a target of zero maternal deaths in its two-year plan; Sultan Kudarat records maternal deaths as a priority problem.</t>
  </si>
  <si>
    <t>BHS</t>
  </si>
  <si>
    <t>A provincial maternal mortality ratio. The numerator is unreliable and the denominator unpublished.</t>
  </si>
  <si>
    <t>Hosp</t>
  </si>
  <si>
    <t>Brgys with no BHS</t>
  </si>
  <si>
    <t>12 municipalities 0</t>
  </si>
  <si>
    <t>SOURCE  ▸  MDN · EXHIBIT 2 · §3 · §3.2 · p. 11</t>
  </si>
  <si>
    <t>Pop per RHU</t>
  </si>
  <si>
    <t>In EBDM</t>
  </si>
  <si>
    <t>PSA province 137</t>
  </si>
  <si>
    <t>Hospitals and infirmaries</t>
  </si>
  <si>
    <t>●</t>
  </si>
  <si>
    <t>TITLE AS PRINTED  ▸  Adults risk-assessed under PhilPEN, by municipality</t>
  </si>
  <si>
    <t>12 municipalities 6</t>
  </si>
  <si>
    <t>○</t>
  </si>
  <si>
    <t>PSA province 12</t>
  </si>
  <si>
    <t>Sultan Mastura</t>
  </si>
  <si>
    <t>Lumbaca-Unayan</t>
  </si>
  <si>
    <t>SOURCE  ▸  MDS · TABLE 1 · §2 · §2.1 · p. 8</t>
  </si>
  <si>
    <t>TITLE AS PRINTED  ▸  Participation in the Maguindanao del Sur cycle</t>
  </si>
  <si>
    <t>Municipalities</t>
  </si>
  <si>
    <t>Registered facilities</t>
  </si>
  <si>
    <t>Filed an EBDM workbook</t>
  </si>
  <si>
    <t>Did not file</t>
  </si>
  <si>
    <t>3 — Gen. S.K. Pendatun, Shariff Saydona Mustapha, South Upi</t>
  </si>
  <si>
    <t>Datu Blah T. Sinsuat</t>
  </si>
  <si>
    <t>SOURCE  ▸  MDS · TABLE 2 · §2 · §2.3 · p. 9</t>
  </si>
  <si>
    <t>Barira</t>
  </si>
  <si>
    <t>Main limitation</t>
  </si>
  <si>
    <t>A. National statistical system PSA 2024 Census; PSGC; 2022 NDHS historical baseline; 2025 NDHS current key indicators; vital and poverty statistics</t>
  </si>
  <si>
    <t>Region and province; population and barangays to municipality</t>
  </si>
  <si>
    <t>Population denominators; barangay counts; poverty; regional health outcomes and service coverage</t>
  </si>
  <si>
    <t>PROVINCE</t>
  </si>
  <si>
    <t>Health outcomes remain regional. In the 2022 NDHS tables, 98 children and 188 births are weighted denominators; 180 children and 345 births are unweighted cases. The 2025 NDHS is the current benchmark for basic-antigen coverage and facility delivery.</t>
  </si>
  <si>
    <t>Provincial / area total as annexed</t>
  </si>
  <si>
    <t>B. Sectoral administrative systemsDOH LGU Health Scorecard; PhilHealth returns; DOH facility development plan</t>
  </si>
  <si>
    <t>The only municipality-level health data that exists for this province</t>
  </si>
  <si>
    <t>Filed under the undivided province key "MAGUINDANAO" throughout; municipalities must be selected by name. Self-reported. Several fields are binary in behaviour and percentage in label.</t>
  </si>
  <si>
    <t>C. Project-held facility registerDOH/HFSRB administrative extract, 222 Maguindanao del Sur registrations</t>
  </si>
  <si>
    <t>Facility, with municipality and barangay</t>
  </si>
  <si>
    <t>Named facilities, ownership, bed complement, licence status and validity</t>
  </si>
  <si>
    <t>Licensing status is null for 151 of 222 records and validity dates for 160. Twenty-three of 57 birthing homes are annexes of their own rural health unit, counted as independent facilities.</t>
  </si>
  <si>
    <t>D. BARMM FHSIS assessmentMOH-BARMM instrument on the condition of routine reporting</t>
  </si>
  <si>
    <t>Rural health unit, within 22 of 24 LGUs</t>
  </si>
  <si>
    <t>Whether the reporting apparatus exists — unit, budget line, permanence of the focal post, ICT, EMR, training, timeliness</t>
  </si>
  <si>
    <t>Two scored components are empty for every unit in the region and one is constant, so the composite is capped and partly non-discriminating. The Mamasapano record is filed under Mangudadatu; Datu Anggal Midtimbang has no record.</t>
  </si>
  <si>
    <t>E. Local evidence base (EBDM)Workshop cycle output for 21 of 24 LGUs; 199 planning-priority records; 263 supplemental issue records; 128 plan actions</t>
  </si>
  <si>
    <t>Barangay and facility, within 21 of 24 LGUs</t>
  </si>
  <si>
    <t>Conditions at the point of service that no national system records: cold chain, equipment, referral experience, local policy gaps, the province's own diagnosis of itself</t>
  </si>
  <si>
    <t>Record volume tracks drafting capacity, not need. Fill-down repetition reduces 263 issue records to 139 distinct problems. Workforce and revenue fields contain parser issues. The consolidated dashboard covers 2 of 24 LGUs.</t>
  </si>
  <si>
    <t>Talitay</t>
  </si>
  <si>
    <t>SOURCE  ▸  MDS · (unlabelled) · §2 · §2.6 · p. 11</t>
  </si>
  <si>
    <t>TITLE AS PRINTED  ▸  Twenty-one municipalities filed. Read as testimony rather than as arithmetic, that record is the only available source located for conditions at the point of service in this province, and several of its statements are specific, checkable and consistent with the official evidence.</t>
  </si>
  <si>
    <t>WHAT THE EBDM RECORD ESTABLISHES Cold chain. Across matched facility records, 17 report functional cold chain, 18 partial and 28 unknown. Datu Paglas records cold chain in the rural health unit only, with all 22 barangay health stations blank; Datu Abdullah Sangki proposes an inventory and condition assessment of "all 11 facilities" and procurement or repair for at least two. Accreditation at the frontline. Datu Paglas records "Only RHU accredited; No BHS philhealth accredited" — one accredited facility of 23, with a stated revenue potential of ₱214,250 concentrated entirely at the rural health unit. Physical absence of facilities. Datu Paglas names two barangays — Elbebe and Lipao — with no barangay health station building at all, Elbebe at two hours from the rural health unit. Pagagawan records "No BHS in 4 Barangays; BHS needs repair and road access." Ordinance-grade diagnosis. Shariff Aguak's five policy blocks record a doctor-to-population ratio of 1:36,548 against a 1:20,000 benchmark, four BEmONC-trained midwives of fifteen, no BEmONC-trained doctor or nurse, one accredited government birthing facility for the whole municipality, and six makeshift purok stations with "no capacity for facility deliveries." Its immunization block records "(+) zero-dose children → Measles Outbreak" and attributes hesitancy to "vaccines misconceptions, belief in 'Qad'r'" and to mobile population.</t>
  </si>
  <si>
    <t>WHAT IT CANNOT CARRY Coverage extends to 21 of 24 LGUs — 86.1 per cent of population, 84.0 per cent of barangays, 77.5 per cent of registered facilities. Record volume tracks drafting capacity, not need. Rajah Buayan's 35 planning-priority rows are four stacked worksheet blocks plus three header rows, which alone drives its decision-status score to 91 — 2.2 times the next-highest municipality. Its rank as the province's most-pressured LGU is an artefact of template stacking. Fill-down repetition. Two hundred and sixty-three supplemental issue records reduce to 139 distinct problem statements; root cause is null on 99 rows, system gap on 105 and policy lever on 110. Any count of "gaps" should therefore be adjusted before it is treated as a substantive count. Numeric fields require validation. Workforce headcounts are a parser artefact in 156 of 444 rows; revenue not captured in parsing totaled ₱15.17 million because of a space-after-comma thousands format; data-completeness values of 1 and 1.0 were mapped to 100 in 29 records; referral turnaround mixes minutes, hours and days in one field, and six records read "CONNOT BE DETERMINED." Twenty-five quality-control flags are open at atlas level against the single "Low" severity flag the dashboard reports.</t>
  </si>
  <si>
    <t>SOURCE  ▸  SGA · TABLE 2 · §2 · §2.1 · p. 6</t>
  </si>
  <si>
    <t>Buldon</t>
  </si>
  <si>
    <t>MDN · ANNEX A · §A · p. 41</t>
  </si>
  <si>
    <t>All four outputs, all eight municipalities</t>
  </si>
  <si>
    <t>SOURCE  ▸  SGA · TABLE 1 · §2 · §2.2 · p. 6</t>
  </si>
  <si>
    <t>Matanog</t>
  </si>
  <si>
    <t>A. National statistical system | 2024 Census of Population; Philippine Standard Geographic Code</t>
  </si>
  <si>
    <t>Area and municipality</t>
  </si>
  <si>
    <t>Population, barangay count and official identity for all eight municipalities. The only universe against which a self-reported count can be checked.</t>
  </si>
  <si>
    <t>Carries no health variable of any kind. No municipal series exists before 2024, so nothing in it can establish a trend.</t>
  </si>
  <si>
    <t>B. Sectoral administrative systems | DOH LGU Health Scorecard 2006–2022; PhilHealth returns to IOM, July 2024; MOH-BARMM FHSIS unit assessment, Nov–Dec 2025; draft 2024 BARMM LGU Health Scorecard</t>
  </si>
  <si>
    <t>Mother municipalities; region and province; two of eight municipalities</t>
  </si>
  <si>
    <t>Kabuntalan</t>
  </si>
  <si>
    <t>'Without a facility' = barangays with no registered barangay health station. Cotabato City is shown for reference and is not a component LGU of the province.</t>
  </si>
  <si>
    <t>2006–2026</t>
  </si>
  <si>
    <t>The regional accreditation matrix; the pre-transfer record of the six mother municipalities; the condition of the reporting apparatus in two municipalities. A Bangsamoro Government press release of 14 May 2026 is carried at §4.2 as a third account of the rural health unit stock, and as nothing more.</t>
  </si>
  <si>
    <t>Contains none of the eight municipalities before 2024. The PhilHealth return carries no Special Geographic Area line and does not state where the area's members are counted. Missing values, implausible values and non-reporting are recorded identically.</t>
  </si>
  <si>
    <t>C. Project-held facility register | DOH/HFSRB extract carried in the BARMM Atlas master datasheet</t>
  </si>
  <si>
    <t>Facility, coded to municipality and barangay</t>
  </si>
  <si>
    <t>Extract undated</t>
  </si>
  <si>
    <t>The only description of the physical stock independent of the municipalities: 68 registrations with facility type, ownership subclassification, licensing status and bed capacity.</t>
  </si>
  <si>
    <t>Licensing status is null for 64 of 68 records and bed capacity is zero for 66. No geographic code, no coordinates and no service capability for any Special Geographic Area record. Legacy facilities retain pre-transfer names.</t>
  </si>
  <si>
    <t>D. Independent demand-side measurement | World Bank BARMM household survey, “North Cotabato” stratum</t>
  </si>
  <si>
    <t>Northern Kabuntalan</t>
  </si>
  <si>
    <t>One stratum, 13 sample barangays</t>
  </si>
  <si>
    <t>2019 fieldwork</t>
  </si>
  <si>
    <t>The only measurement of health-seeking behaviour, immunisation, out-of-pocket spending and nutrition in the territory.</t>
  </si>
  <si>
    <t>Predates the municipalities by five years. Analysed without survey weights. Its published sampling frame describes Cotabato Province rather than the 63 barangays. Not disaggregable below the stratum.</t>
  </si>
  <si>
    <t>E. Local evidence base (EBDM) | Municipal worksheet submissions, eight of eight</t>
  </si>
  <si>
    <t>Facility and municipality</t>
  </si>
  <si>
    <t>May 2026</t>
  </si>
  <si>
    <t>Service inventory, cold chain, equipment readiness, referral linkage and turnaround, priority gaps and two-year plans, and the municipalities' own account of accreditation and revenue.</t>
  </si>
  <si>
    <t>Self-reported and unaudited. Catchment overstated by 37.4 per cent; revenue computed on inconsistent formulas; the workforce field is unparseable. Diagnostic value high; arithmetic value conditional on correction.</t>
  </si>
  <si>
    <t>Lanao del Sur (comparator)</t>
  </si>
  <si>
    <t>SOURCE  ▸  MDN · EXHIBIT 3 · §3 · §3.3 · p. 11</t>
  </si>
  <si>
    <t>TITLE AS PRINTED  ▸  Maguindanao had the best facility readiness in BARMM and the worst vaccination history</t>
  </si>
  <si>
    <t>Immunization service readiness</t>
  </si>
  <si>
    <t>Maguindanao 62.6%</t>
  </si>
  <si>
    <t>BARMM 56.6%</t>
  </si>
  <si>
    <t>General service readiness</t>
  </si>
  <si>
    <t>Maguindanao 67.1%</t>
  </si>
  <si>
    <t>ARMM 63.2%</t>
  </si>
  <si>
    <t>Children with no vaccine history</t>
  </si>
  <si>
    <t>Maguindanao 30%</t>
  </si>
  <si>
    <t>5 provinces 24%</t>
  </si>
  <si>
    <t>D05 — COLD CHAIN AND COMMODITIES</t>
  </si>
  <si>
    <t>2 tables reproduced verbatim from the five diagnostics. Each block is preceded by its locator: report code, table or exhibit label, section number, subsection number and the page printed in that report's own contents list.</t>
  </si>
  <si>
    <t>Visits with a missed opportunity</t>
  </si>
  <si>
    <t>Maguindanao 74.9%</t>
  </si>
  <si>
    <t>5 provinces 65.5%</t>
  </si>
  <si>
    <t>63 matched</t>
  </si>
  <si>
    <t>SOURCE  ▸  MDN · EXHIBIT 4 · §3 · §3.4 · p. 11</t>
  </si>
  <si>
    <t>SOURCE  ▸  SGA · EXHIBIT 6 · §4 · §4.6 · p. 13</t>
  </si>
  <si>
    <t>TITLE AS PRINTED  ▸  Six functional cold chains for sixty-three barangays</t>
  </si>
  <si>
    <t>TITLE AS PRINTED  ▸  Tuberculosis notification against expected incidence, by municipality</t>
  </si>
  <si>
    <t>None recorded</t>
  </si>
  <si>
    <t>No entry</t>
  </si>
  <si>
    <t>Ligawasan</t>
  </si>
  <si>
    <t>Kadayangan</t>
  </si>
  <si>
    <t>Malidegao</t>
  </si>
  <si>
    <t>Nabalawag</t>
  </si>
  <si>
    <t>Tugunan</t>
  </si>
  <si>
    <t>Kapalawan</t>
  </si>
  <si>
    <t>Old Kaabakan</t>
  </si>
  <si>
    <t>Pahamuddin</t>
  </si>
  <si>
    <t>AREA</t>
  </si>
  <si>
    <t>SOURCE  ▸  LDS · TABLE 5 · §4 · §4.8 · p. 25</t>
  </si>
  <si>
    <t>TITLE AS PRINTED  ▸  The twelve most isolated municipalities</t>
  </si>
  <si>
    <t>GIDA</t>
  </si>
  <si>
    <t>GIDA share</t>
  </si>
  <si>
    <t>Yes</t>
  </si>
  <si>
    <t>D06 — PAYMENT, PHILHEALTH AND FINANCING</t>
  </si>
  <si>
    <t>11 tables reproduced verbatim from the five diagnostics. Each block is preceded by its locator: report code, table or exhibit label, section number, subsection number and the page printed in that report's own contents list.</t>
  </si>
  <si>
    <t>PROVINCE (twelve municipalities)</t>
  </si>
  <si>
    <t>SOURCE  ▸  MDS · TABLE 4 · §3 · §3.1 · p. 12</t>
  </si>
  <si>
    <t>TITLE AS PRINTED  ▸  What can and cannot be stated about the provincial disease profile</t>
  </si>
  <si>
    <t>What the evidence supports</t>
  </si>
  <si>
    <t>What it does not support</t>
  </si>
  <si>
    <t>Source</t>
  </si>
  <si>
    <t>TITLE AS PRINTED  ▸  | 741,428residents in the twelvemunicipalities, 2024 Census | | 221barangays | | 178registered barangayhealth stations | | 12rural health units |</t>
  </si>
  <si>
    <t>Leading causes of death in Maguindanao del Sur</t>
  </si>
  <si>
    <t>That DOH-ARMM reported cardiovascular disease as the number one cause of mortality in each of the five ARMM provinces, on province-level mortality data the source states are not complete</t>
  </si>
  <si>
    <t>Any ranked provincial cause list, any share, any count</t>
  </si>
  <si>
    <t>0.49licensed beds per 1,000residents, twelve municipalities</t>
  </si>
  <si>
    <t>World Bank (2020), p. 144</t>
  </si>
  <si>
    <t>8 of 12municipalities with noinpatient bed of any class</t>
  </si>
  <si>
    <t>Nothing at province level</t>
  </si>
  <si>
    <t>Any ranked list</t>
  </si>
  <si>
    <t>2.5%of adults risk-assessedfor hypertension or diabetes</t>
  </si>
  <si>
    <t>No accessible source located</t>
  </si>
  <si>
    <t>0municipalities reportingreferral completion</t>
  </si>
  <si>
    <t>BARMM recorded 6,577 registered deaths in 2023 — 0.9 per cent of the national total on 5.1 per cent of the population — with registration timeliness below 90 per cent and no adjustment for under-registration</t>
  </si>
  <si>
    <t>SOURCE  ▸  MDN · (unlabelled) · §4 · §4.1 · p. 16</t>
  </si>
  <si>
    <t>Any provincial death count, crude death rate or cause distribution</t>
  </si>
  <si>
    <t>PSA (2025c)</t>
  </si>
  <si>
    <t>Measles burden, 2023–24</t>
  </si>
  <si>
    <t>That BARMM recorded 2,064 confirmed cases and 14 deaths to 17 April 2024, of which 427 cases and 3 deaths are attributed to "Maguindanao" reported as the undivided province</t>
  </si>
  <si>
    <t>Any Maguindanao del Sur case count, death count, attack rate or municipal distribution</t>
  </si>
  <si>
    <t>NDRRMC Progress Report No. 5 (17 April 2024)</t>
  </si>
  <si>
    <t>TITLE AS PRINTED  ▸  Section 17(b)(1)(ii) of the Local Government Code of 1991 assigns the maintenance of the barangay health centre to the barangay, and Section 17(b)(2)(iii) assigns primary health care, maternal and child care and communicable and non-communicable disease control to the municipality. The national planning benchmark applied to that assignment is one barangay health station per barangay and one rural health unit per 20,000 population (World Bank, 2020, p. 130).</t>
  </si>
  <si>
    <t>That cardiovascular readiness, screening coverage and commodity availability can each be measured, and that all three point the same way (§3.5)</t>
  </si>
  <si>
    <t>Substituting readiness or screening data for incidence or mortality</t>
  </si>
  <si>
    <t>World Bank (2020); DOH (n.d.)</t>
  </si>
  <si>
    <t>221barangays in the twelvemunicipalities</t>
  </si>
  <si>
    <t>SOURCE  ▸  MDS · EXHIBIT 2 · §3 · §3.2 · p. 12</t>
  </si>
  <si>
    <t>0.81stations per barangay</t>
  </si>
  <si>
    <t>46barangays with noregistered station</t>
  </si>
  <si>
    <t>SOURCE  ▸  MDN · EXHIBIT 5 · §4 · §4.1 · p. 16</t>
  </si>
  <si>
    <t>NEONATAL WINDOW — FIRST 28 DAYSBARMM: 8 deaths per 1,000 live birthsPhilippines: 15 per 1,000BARMM is below the national rate.This window is governed by obstetric care, skilled attendance at birth and newborn resuscitation.Not, on this evidence, the binding constraint.</t>
  </si>
  <si>
    <t>POST-NEONATAL WINDOW — MONTHS 1 TO 12BARMM: 12 deaths per 1,000 live birthsPhilippines: 7 per 1,000BARMM is 71 per cent above the national rate.This window is governed by immunization, infection control, nutrition, and water and sanitation.This is where the deaths are.</t>
  </si>
  <si>
    <t>SOURCE  ▸  SGA · TABLE 3 · §3 · §3.1 · p. 8</t>
  </si>
  <si>
    <t>PROVINCE — twelve municipalities</t>
  </si>
  <si>
    <t>TITLE AS PRINTED  ▸  What can and cannot be stated about disease in the Special Geographic Area</t>
  </si>
  <si>
    <t>TITLE AS PRINTED  ▸  Forty-six of 221 barangays have no registered health station</t>
  </si>
  <si>
    <t>What exists</t>
  </si>
  <si>
    <t>Geography and vintage</t>
  </si>
  <si>
    <t>Status in this report</t>
  </si>
  <si>
    <t>Nothing for the area or its municipalities. The regional discussion states that province-level mortality data are not complete.</t>
  </si>
  <si>
    <t>Not stated. No cause table is presented.</t>
  </si>
  <si>
    <t>Sultan Kudarat (30 of 39)</t>
  </si>
  <si>
    <t>Nothing for the area or its municipalities.</t>
  </si>
  <si>
    <t>Not stated.</t>
  </si>
  <si>
    <t>Maternal mortality ratio</t>
  </si>
  <si>
    <t>No numerator and no published denominator.</t>
  </si>
  <si>
    <t>Not computed. A ratio built from these would be precise and unfounded.</t>
  </si>
  <si>
    <t>Infant and under-five mortality</t>
  </si>
  <si>
    <t>Nothing at municipal level; regional rates exist but are not apportionable.</t>
  </si>
  <si>
    <t>Kabuntalan (9 of 17)</t>
  </si>
  <si>
    <t>Full immunisation</t>
  </si>
  <si>
    <t>3% of children 12–23 months fully vaccinated; 31% with all basic doses; 78.6% of vaccination visits with a missed opportunity.</t>
  </si>
  <si>
    <t>North Cotabato stratum, 2019</t>
  </si>
  <si>
    <t>Stated at Tier B, with the frame and vintage qualifications at §3.3.</t>
  </si>
  <si>
    <t>Place of delivery</t>
  </si>
  <si>
    <t>40.5% reported accessing birth-delivery services, against 49.8% for the five BARMM provinces.</t>
  </si>
  <si>
    <t>Stated at Tier B. No facility-based delivery rate is computed.</t>
  </si>
  <si>
    <t>No notification rate, no treatment success rate. TB is raised 12 times in the municipalities' own worksheets.</t>
  </si>
  <si>
    <t>Upi (17 of 23)</t>
  </si>
  <si>
    <t>Municipal worksheets, 2026</t>
  </si>
  <si>
    <t>City of Cotabato (not a component LGU)</t>
  </si>
  <si>
    <t>Non-component reference (not in provincial total)</t>
  </si>
  <si>
    <t>Diagnostic only. No rate computed.</t>
  </si>
  <si>
    <t>Non-communicable disease</t>
  </si>
  <si>
    <t>No screening coverage. NCD raised 6 times; two municipalities name rising hypertension and diabetes among their five priorities.</t>
  </si>
  <si>
    <t>Diagnostic only.</t>
  </si>
  <si>
    <t>Nutrition</t>
  </si>
  <si>
    <t>40.1% stunting, 8.2% wasting, 3.2% concurrent wasting and stunting.</t>
  </si>
  <si>
    <t>Northern Kabuntalan (5 of 11)</t>
  </si>
  <si>
    <t>Stated at Tier B.</t>
  </si>
  <si>
    <t>Water and sanitation</t>
  </si>
  <si>
    <t>52.2% tubed or piped deep well; 63% treating water by no method; 64.9% with a toilet facility.</t>
  </si>
  <si>
    <t>Stated at Tier B. No safely managed water figure is constructed.</t>
  </si>
  <si>
    <t>SOURCE  ▸  SGA · TABLE 4 · §3 · §3.2 · p. 8</t>
  </si>
  <si>
    <t>Talitay (4 of 9)</t>
  </si>
  <si>
    <t>TITLE AS PRINTED  ▸  The six mother municipalities: the pre-transfer record, 2022</t>
  </si>
  <si>
    <t>Buldon (12 of 15)</t>
  </si>
  <si>
    <t>Mother municipality</t>
  </si>
  <si>
    <t>PSGC</t>
  </si>
  <si>
    <t>Health budget share (%)</t>
  </si>
  <si>
    <t>Functional LHB</t>
  </si>
  <si>
    <t>Datu Blah T. Sinsuat (10 of 13)</t>
  </si>
  <si>
    <t>Surveillance unit</t>
  </si>
  <si>
    <t>DRRM-H</t>
  </si>
  <si>
    <t>FIC (%)</t>
  </si>
  <si>
    <t>TB treatment success (%)</t>
  </si>
  <si>
    <t>Safely managed water (%)</t>
  </si>
  <si>
    <t>MDS · ANNEX A · § · page not in contents list</t>
  </si>
  <si>
    <t>Aleosan</t>
  </si>
  <si>
    <t>Parang (23 of 25)</t>
  </si>
  <si>
    <t>Carmen</t>
  </si>
  <si>
    <t>Barira (12 of 14)</t>
  </si>
  <si>
    <t>Kabacan</t>
  </si>
  <si>
    <t>Datu Odin Sinsuat (33 of 34)</t>
  </si>
  <si>
    <t>Midsayap</t>
  </si>
  <si>
    <t>427 †</t>
  </si>
  <si>
    <t>Matanog (7 of 8)</t>
  </si>
  <si>
    <t>'Without a facility' = barangays carrying no registered facility of any type. Beds are licensed beds of all classes.</t>
  </si>
  <si>
    <t>Pigcawayan</t>
  </si>
  <si>
    <t>Sultan Mastura (13 of 13)</t>
  </si>
  <si>
    <t>Pikit</t>
  </si>
  <si>
    <t>SOURCE  ▸  MDN · TABLE 4 · §4 · §4.1 · p. 16</t>
  </si>
  <si>
    <t>SOURCE  ▸  SGA · EXHIBIT 2 · §3 · §3.3 · p. 8</t>
  </si>
  <si>
    <t>TITLE AS PRINTED  ▸  What the last survey to reach this territory found</t>
  </si>
  <si>
    <t>Indicator</t>
  </si>
  <si>
    <t>The territory</t>
  </si>
  <si>
    <t>Five BARMM provinces</t>
  </si>
  <si>
    <t>Reading</t>
  </si>
  <si>
    <t>Children 12–23 months fully vaccinated</t>
  </si>
  <si>
    <t>No BHS</t>
  </si>
  <si>
    <t>The lowest of the three strata. 31 per cent had all basic doses, so the pattern is incomplete schedules, not refusal.</t>
  </si>
  <si>
    <t>Pop/RHU</t>
  </si>
  <si>
    <t>Vaccination visits including a missed opportunity</t>
  </si>
  <si>
    <t>Labs</t>
  </si>
  <si>
    <t>1.3 missed opportunities per visit. Ten per cent of respondents were turned away because it was not the scheduled day.</t>
  </si>
  <si>
    <t>Dose pairs more than 56 days apart</t>
  </si>
  <si>
    <t>Corroborates the interrupted-schedule reading.</t>
  </si>
  <si>
    <t>Pagalungan</t>
  </si>
  <si>
    <t>SOURCE  ▸  LDS · EXHIBIT 8 · §5 · §5.3 · p. 29</t>
  </si>
  <si>
    <t>Accessed birth-delivery services</t>
  </si>
  <si>
    <t>TITLE AS PRINTED  ▸  PhilHealth in Lanao del Sur: 291,084 registered, 6,250 seen</t>
  </si>
  <si>
    <t>Utilisation fell materially below the five provinces on this service, while antenatal care was at parity.</t>
  </si>
  <si>
    <t>Accessed antenatal care</t>
  </si>
  <si>
    <t>33.9%of residents are registered members</t>
  </si>
  <si>
    <t>At parity.</t>
  </si>
  <si>
    <t>40.8%of BARMM Konsulta registrationsare in this province</t>
  </si>
  <si>
    <t>Households forgoing needed care</t>
  </si>
  <si>
    <t>2.1%conversion from registrationto a first encounter</t>
  </si>
  <si>
    <t>Nearly twice the five-province rate. More than 70 per cent of those cited inability to pay, against 40 per cent in the five provinces.</t>
  </si>
  <si>
    <t>Illness episodes paid out of pocket</t>
  </si>
  <si>
    <t>PhilHealth was used in 7.2 per cent of episodes.</t>
  </si>
  <si>
    <t>Reported PhilHealth membership</t>
  </si>
  <si>
    <t>At parity, and well below the universal entitlement conferred by law.</t>
  </si>
  <si>
    <t>Monthly health spending</t>
  </si>
  <si>
    <t>Lower in pesos and as a share; read with the 21 per cent forgone-care rate.</t>
  </si>
  <si>
    <t>More than 30 minutes to a facility</t>
  </si>
  <si>
    <t>~25%</t>
  </si>
  <si>
    <t>~15%</t>
  </si>
  <si>
    <t>Distance was a materially larger constraint here than in the five provinces.</t>
  </si>
  <si>
    <t>Prefers the rural health unit as first contact</t>
  </si>
  <si>
    <t>The highest of the three strata — in a territory where two municipalities now report none.</t>
  </si>
  <si>
    <t>Stunting, children under five</t>
  </si>
  <si>
    <t>Pagagawan</t>
  </si>
  <si>
    <t>Above the five-province figure. Wasting 8.2 per cent; concurrent wasting and stunting 3.2 per cent.</t>
  </si>
  <si>
    <t>Talayan</t>
  </si>
  <si>
    <t>SOURCE  ▸  MDN · EXHIBIT 9 · §5 · §5.3 · p. 22</t>
  </si>
  <si>
    <t>TITLE AS PRINTED  ▸  PhilHealth in Maguindanao del Norte: 312,635 members, 19 Konsulta providers</t>
  </si>
  <si>
    <t>City of Cotabato — not a component LGU</t>
  </si>
  <si>
    <t>312,635registered members,June 2024</t>
  </si>
  <si>
    <t>42.2%of the twelve-municipalitypopulation</t>
  </si>
  <si>
    <t>16,454members per accreditedKonsulta provider</t>
  </si>
  <si>
    <t>24,049members per accreditedrural health unit</t>
  </si>
  <si>
    <t>not reportedKonsulta registrations,Maguindanao del Norte</t>
  </si>
  <si>
    <t>not reportedfirst patient encounters,Maguindanao del Norte</t>
  </si>
  <si>
    <t>2.12%conversion, undividedMaguindanao</t>
  </si>
  <si>
    <t>18.6%conversion, Basilan,same period</t>
  </si>
  <si>
    <t>SOURCE  ▸  MDN · EXHIBIT 6 · §4 · §4.2 · p. 16</t>
  </si>
  <si>
    <t>TITLE AS PRINTED  ▸  Population per rural health unit against the 1:20,000 standard</t>
  </si>
  <si>
    <t>D07 — REFERRAL AND INPATIENT CAPACITY</t>
  </si>
  <si>
    <t>Datu Abdullah Sangki</t>
  </si>
  <si>
    <t>SOURCE  ▸  BARMM · EXHIBIT 6 · §7 · p. 21</t>
  </si>
  <si>
    <t>TITLE AS PRINTED  ▸  The referral measurement gap: zero observations across 57 reporting units</t>
  </si>
  <si>
    <t>Units reporting</t>
  </si>
  <si>
    <t>Referral completion recorded</t>
  </si>
  <si>
    <t>Published catchment map</t>
  </si>
  <si>
    <t>What is measured instead</t>
  </si>
  <si>
    <t>16 LGUs (+ IPHO)</t>
  </si>
  <si>
    <t>None. The HCPN is described as "finalizing" and is not in force.</t>
  </si>
  <si>
    <t>307 of 407 records carry a parseable turnaround; median 20 minutes; 30 exceed one hour.</t>
  </si>
  <si>
    <t>None. Tested against DOH, MOH-BARMM and Bangsamoro Parliament issuances.</t>
  </si>
  <si>
    <t>226 of 300 records report a parseable time; median 21 minutes, mean 34.3; 17 above an hour.</t>
  </si>
  <si>
    <t>21 filing (of 24)</t>
  </si>
  <si>
    <t>Gen. S.K. Pendatun</t>
  </si>
  <si>
    <t>None. The instrument was not obtained from any of the three sources; the field is null across all 24.</t>
  </si>
  <si>
    <t>Mixed units — 39 records in minutes, 20 in hours, 6 in days, 1 unknown, 18 null; no provincial median computable.</t>
  </si>
  <si>
    <t>None. Every inpatient destination is outside the Area and most are outside the region.</t>
  </si>
  <si>
    <t>64 usable turnaround values; median 40 minutes; range 5 to 120; 84.4% within an hour.</t>
  </si>
  <si>
    <t>Standard catchment</t>
  </si>
  <si>
    <t>None obtained in any jurisdiction; the field is null region-wide.</t>
  </si>
  <si>
    <t>Travel time only, on four incommensurable bases.</t>
  </si>
  <si>
    <t>TITLE AS PRINTED  ▸  | 11licensed hospitals |</t>
  </si>
  <si>
    <t>SOURCE  ▸  MDN · EXHIBIT 7 · §4 · §4.5 · p. 16</t>
  </si>
  <si>
    <t>2025 NDHS: 22.1% basic-antigen coverage; 13.0% full national schedule</t>
  </si>
  <si>
    <t>68.6% BARMM births in a facility, 2025 NDHS</t>
  </si>
  <si>
    <t>4.3%LDS adults screenedfor hypertension or diabetes</t>
  </si>
  <si>
    <t>2.1%of Konsulta registrantsever seen</t>
  </si>
  <si>
    <t>TITLE AS PRINTED  ▸  Where births actually happen: the administrative record against the survey</t>
  </si>
  <si>
    <t>SOURCE  ▸  LDS · (unlabelled) · §4 · §4.4 · p. 22</t>
  </si>
  <si>
    <t>TITLE AS PRINTED  ▸  Physical reach is a necessary condition, not a sufficient one. The model applies a readiness credit to a supply point only where the workshop record provides a direct municipality-and-barangay match and at least half of the planned readiness dimensions were observed — service inventory, workforce, equipment, cold chain, PhilHealth status and referral turnaround. Fifty-nine supply points have a direct match; fifty-seven meet the credit threshold.</t>
  </si>
  <si>
    <t>unweighted mean of 12</t>
  </si>
  <si>
    <t>59supply points with a direct workshop matchof 184 modeled supply points</t>
  </si>
  <si>
    <t>57credit-eligible on readinessat least half the plannedreadiness dimensions observed</t>
  </si>
  <si>
    <t>170,246population-equivalent access losswhere readiness could be scored</t>
  </si>
  <si>
    <t>838,972physically served, readiness unknownno facility-level readiness evidence</t>
  </si>
  <si>
    <t>NDHS 2025, BARMM</t>
  </si>
  <si>
    <t>Matanog, own 2025 FHSIS return</t>
  </si>
  <si>
    <t>Mamasapano</t>
  </si>
  <si>
    <t>Sultan Mastura, scorecard 2018 (highest)</t>
  </si>
  <si>
    <t>Datu Blah T. Sinsuat, scorecard 2018 (lowest)</t>
  </si>
  <si>
    <t>TITLE AS PRINTED  ▸  | 813,243residents, 2024 Census | 287barangays | 222registered health facilities | 24rural health units — one per municipality |</t>
  </si>
  <si>
    <t>91PhilHealth accreditations —the largest base in BARMM</t>
  </si>
  <si>
    <t>132barangays with noregistered facility</t>
  </si>
  <si>
    <t>Ampatuan</t>
  </si>
  <si>
    <t>3.96%of adults screened underPhilPEN</t>
  </si>
  <si>
    <t>SOURCE  ▸  MDS · (unlabelled) · §4 · §4.1 · p. 16</t>
  </si>
  <si>
    <t>TITLE AS PRINTED  ▸  Section 17 of the Local Government Code devolves primary health care to the municipality, and national facility planning carries an expectation of one barangay health station per barangay. The PHFDP 2020 baseline measured the then-ARMM/BARMM footprint at 650 stations against 2,535 barangays, a ratio of 0.3 (Department of Health, 2020b). This is a historical planning baseline, not the current regional denominator. Maguindanao del Sur’s current comparison in this report uses its own PSA barangay count and the project-held station register, subject to reconciliation.</t>
  </si>
  <si>
    <t>0.45registrations per barangay</t>
  </si>
  <si>
    <t>155barangays with a registered facility of any type</t>
  </si>
  <si>
    <t>SOURCE  ▸  MDS · TABLE 5 · §4 · §4.1 · p. 16</t>
  </si>
  <si>
    <t>TITLE AS PRINTED  ▸  The registered facility stock of Maguindanao del Sur</t>
  </si>
  <si>
    <t>Facility type</t>
  </si>
  <si>
    <t>Barangay health station</t>
  </si>
  <si>
    <t>Rajah Buayan</t>
  </si>
  <si>
    <t>COVID-19 testing laboratory</t>
  </si>
  <si>
    <t>SOURCE  ▸  SGA · EXHIBIT 7 · §5 · §5.2 · p. 19</t>
  </si>
  <si>
    <t>TITLE AS PRINTED  ▸  Zero of three hundred and forty-seven</t>
  </si>
  <si>
    <t>Not established; dated project records report 0 of 66</t>
  </si>
  <si>
    <t>SOURCE  ▸  MDS · TABLE 6 · §4 · §4.5 · p. 18</t>
  </si>
  <si>
    <t>Not established; SGA is not a printed line in the July 2024 regional return</t>
  </si>
  <si>
    <t>Not established; historical classification was Konsulta and current benefit is YAKAP</t>
  </si>
  <si>
    <t>Not established</t>
  </si>
  <si>
    <t>Facilities in the area holding any accreditation</t>
  </si>
  <si>
    <t>Accredited rural health units in BARMM that are in the area</t>
  </si>
  <si>
    <t>Konsulta package providers in BARMM that are in the area</t>
  </si>
  <si>
    <t>TITLE AS PRINTED  ▸  Childbirth measured twice</t>
  </si>
  <si>
    <t>PhilHealth income to facilities in the area</t>
  </si>
  <si>
    <t>SOURCE  ▸  SGA · EXHIBIT 8 · §5 · §5.3 · p. 19</t>
  </si>
  <si>
    <t>Administrative record</t>
  </si>
  <si>
    <t>TITLE AS PRINTED  ▸  Four estimates of the same revenue, and the amount collectible</t>
  </si>
  <si>
    <t>Independent measurement</t>
  </si>
  <si>
    <t>Facility-based delivery</t>
  </si>
  <si>
    <t>Figure</t>
  </si>
  <si>
    <t>Unweighted municipal mean 58.8% (2018), range 20.1 (Rajah Buayan) to 94.7 (Datu Paglas)</t>
  </si>
  <si>
    <t>Amount</t>
  </si>
  <si>
    <t>How it is arrived at</t>
  </si>
  <si>
    <t>2025 NDHS BARMM: 68.6% facility delivery. Historical 2022 baseline: 39.1% facility and 60.5% home delivery; weighted births 188, unweighted cases 345.</t>
  </si>
  <si>
    <t>Skilled birth attendance</t>
  </si>
  <si>
    <t>As published in the area dashboard</t>
  </si>
  <si>
    <t>Unweighted municipal mean 74.4% (2018), range 39.4 (Datu Unsay) to 98.7 (Datu Paglas)</t>
  </si>
  <si>
    <t>The sum of 58 of the 66 facility records. The eight Kadayangan records returned no value because each figure is followed by narrative text in the same cell.</t>
  </si>
  <si>
    <t>Historical 2022 BARMM: 42.4% skilled attendance and 51.2% traditional-birth-attendant delivery. No updated regional skilled-attendance value is stated in the reviewed 2025 key-indicators release.</t>
  </si>
  <si>
    <t>Omits one municipality entirely. Not to be used.</t>
  </si>
  <si>
    <t>As actually stated by the municipalities</t>
  </si>
  <si>
    <t>Caesarean section</t>
  </si>
  <si>
    <t>The published total plus Kadayangan's ₱54,276,920, recovered by reading the leading numeral of each source cell.</t>
  </si>
  <si>
    <t>Not reported at municipal level</t>
  </si>
  <si>
    <t>The correct reading of what the municipalities wrote.</t>
  </si>
  <si>
    <t>On the municipalities' own formula</t>
  </si>
  <si>
    <t>NDHS 2022 BARMM: 4.9%, the lowest regional rate in the country</t>
  </si>
  <si>
    <t>Birth weight recorded</t>
  </si>
  <si>
    <t>Claimed catchment of 294,953 × 60% × ₱1,700 — the assumption written into the worksheets. Six of eight municipalities omitted the 60 per cent factor and multiplied their whole catchment by ₱1,700, inflating their figures by 1.67.</t>
  </si>
  <si>
    <t>What the stated figure would be if the stated method had been applied.</t>
  </si>
  <si>
    <t>Not reported</t>
  </si>
  <si>
    <t>On the census population</t>
  </si>
  <si>
    <t>NDHS 2022 BARMM: 43.8% of births have a reported weight from any source</t>
  </si>
  <si>
    <t>214,703 × 60% × ₱1,700. The claimed catchment overstates the census population by 37.4 per cent (§4.4).</t>
  </si>
  <si>
    <t>Gross upper-bound worksheet scenario; not a revenue forecast or collectible amount.</t>
  </si>
  <si>
    <t>SOURCE  ▸  SGA · EXHIBIT 3 · §4 · §4.1 · p. 13</t>
  </si>
  <si>
    <t>Collectible today</t>
  </si>
  <si>
    <t>No facility in the area holds a PhilHealth accreditation of any class.</t>
  </si>
  <si>
    <t>Verify accreditation, empanelment, encounters, claims and payment status before stating a current amount.</t>
  </si>
  <si>
    <t>TITLE AS PRINTED  ▸  Sixty-three of sixty-three barangays carry a service point</t>
  </si>
  <si>
    <t>63 / 63</t>
  </si>
  <si>
    <t>57 / 63</t>
  </si>
  <si>
    <t>Barangays with a service point</t>
  </si>
  <si>
    <t>Of BARMM rural health unit catchments meeting the one-station-per-barangay standard at the last supply-side measurement</t>
  </si>
  <si>
    <t>Barangays carrying an entry in the national facility register</t>
  </si>
  <si>
    <t>Barangays with a service point and no registration</t>
  </si>
  <si>
    <t>SOURCE  ▸  SGA · TABLE 5 · §4 · §4.2 · p. 13</t>
  </si>
  <si>
    <t>Shariff Saydona Mustapha</t>
  </si>
  <si>
    <t>Act</t>
  </si>
  <si>
    <t>Bgys</t>
  </si>
  <si>
    <t>Bgys with a service point</t>
  </si>
  <si>
    <t>Service points</t>
  </si>
  <si>
    <t>Self-help</t>
  </si>
  <si>
    <t>Registered bgys</t>
  </si>
  <si>
    <t>Accredited</t>
  </si>
  <si>
    <t>Pandag</t>
  </si>
  <si>
    <t>D08 — ROUTINE REPORTING, FHSIS AND CIVIL REGISTRATION</t>
  </si>
  <si>
    <t>7 tables reproduced verbatim from the five diagnostics. Each block is preceded by its locator: report code, table or exhibit label, section number, subsection number and the page printed in that report's own contents list.</t>
  </si>
  <si>
    <t>SOURCE  ▸  BARMM · TABLE 8 · §8 · p. 24</t>
  </si>
  <si>
    <t>TITLE AS PRINTED  ▸  The condition of routine reporting: 68 assessed units</t>
  </si>
  <si>
    <t>Mangudadatu</t>
  </si>
  <si>
    <t>Item</t>
  </si>
  <si>
    <t>Rural health units assessed</t>
  </si>
  <si>
    <t>Mean capacity score, of 50</t>
  </si>
  <si>
    <t>Mean system score</t>
  </si>
  <si>
    <t>regional 0.59</t>
  </si>
  <si>
    <t>Full on-time reporting</t>
  </si>
  <si>
    <t>7 of 33 (21.2%)</t>
  </si>
  <si>
    <t>7 of 11 (63.6%)</t>
  </si>
  <si>
    <t>7 of 22 (31.8%)</t>
  </si>
  <si>
    <t>0 of 2</t>
  </si>
  <si>
    <t>21 of 68 (30.9%)</t>
  </si>
  <si>
    <t>Policy issuance creating an FHSIS unit</t>
  </si>
  <si>
    <t>SOURCE  ▸  MDN · EXHIBIT 10 · §6 · §6.2 · p. 25</t>
  </si>
  <si>
    <t>18 of 32</t>
  </si>
  <si>
    <t>5 of 12</t>
  </si>
  <si>
    <t>6 of 23 (26%)</t>
  </si>
  <si>
    <t>0 of 1</t>
  </si>
  <si>
    <t>FHSIS line-item budget</t>
  </si>
  <si>
    <t>12 of 31</t>
  </si>
  <si>
    <t>7 of 12</t>
  </si>
  <si>
    <t>14 of 24 (58%)</t>
  </si>
  <si>
    <t>Focal person holding a permanent appointment</t>
  </si>
  <si>
    <t>6 of 30</t>
  </si>
  <si>
    <t>6 of 12</t>
  </si>
  <si>
    <t>6 of 21</t>
  </si>
  <si>
    <t>Units with at least one internet connection</t>
  </si>
  <si>
    <t>TITLE AS PRINTED  ▸  Fifty-six per cent of the province’s beds sit in a national leprosarium</t>
  </si>
  <si>
    <t>not reported</t>
  </si>
  <si>
    <t>iClinicSys available</t>
  </si>
  <si>
    <t>17 of 25</t>
  </si>
  <si>
    <t>22 of 22</t>
  </si>
  <si>
    <t>51 of 60 answering</t>
  </si>
  <si>
    <t>iClinicSys used for FHSIS reporting</t>
  </si>
  <si>
    <t>Cotabato Sanitarium and General Hospital (DOH)</t>
  </si>
  <si>
    <t>Staff trained in ICD-10/11 coding</t>
  </si>
  <si>
    <t>41–48</t>
  </si>
  <si>
    <t>Staffing at or above threshold</t>
  </si>
  <si>
    <t>0 of 33</t>
  </si>
  <si>
    <t>0 of 11</t>
  </si>
  <si>
    <t>0 of 22</t>
  </si>
  <si>
    <t>0 of 68</t>
  </si>
  <si>
    <t>Data quality recorded without issue</t>
  </si>
  <si>
    <t>Camp Siongco Station Hospital (DND)</t>
  </si>
  <si>
    <t>SOURCE  ▸  LDS · TABLE 7 · §7 · §7.2 · p. 34</t>
  </si>
  <si>
    <t>SOURCE  ▸  SGA · TABLE 6 · §4 · §4.2 · p. 13</t>
  </si>
  <si>
    <t>TITLE AS PRINTED  ▸  The FHSIS apparatus at municipal level</t>
  </si>
  <si>
    <t>Condition</t>
  </si>
  <si>
    <t>TITLE AS PRINTED  ▸  The two facility registers compared, and how each disagreement is treated</t>
  </si>
  <si>
    <t>Position</t>
  </si>
  <si>
    <t>Assessment</t>
  </si>
  <si>
    <t>Municipalities reporting no dedicated FHSIS unit</t>
  </si>
  <si>
    <t>13 of 24</t>
  </si>
  <si>
    <t>Saguiaran, Ditsaan-Ramain, Binidayan, Malabang, Taraka, Kapatagan, Masiu, Lumbaca-Unayan, Piagapo, Tagoloan II, Wao, Marogong and one other responding unit.</t>
  </si>
  <si>
    <t>DOH facility register (Layer C)</t>
  </si>
  <si>
    <t>Municipalities reporting no budget line for FHSIS</t>
  </si>
  <si>
    <t>16 of 24</t>
  </si>
  <si>
    <t>Municipal enumeration (Layer E)</t>
  </si>
  <si>
    <t>Only eight report a dedicated line: Saguiaran, Ditsaan-Ramain, Maguing, Buadiposo-Buntong, Mulondo, Kapai, Madalum and Sultan Dumalondong.</t>
  </si>
  <si>
    <t>Treatment in this report</t>
  </si>
  <si>
    <t>FHSIS focal person is “designated” rather than permanent</t>
  </si>
  <si>
    <t>Total facilities</t>
  </si>
  <si>
    <t>18 of 23</t>
  </si>
  <si>
    <t>68 registrations</t>
  </si>
  <si>
    <t>The role is an added duty. One focal person reports simultaneously handling PhilHealth, planning, immunization, tuberculosis, disbursement, logistics and HIV.</t>
  </si>
  <si>
    <t>66 service points</t>
  </si>
  <si>
    <t>Municipalities not conducting data analysis</t>
  </si>
  <si>
    <t>Both printed. Neither adopted as canonical. The difference is within the range facility inventories in this region ordinarily produce.</t>
  </si>
  <si>
    <t>6 of 23</t>
  </si>
  <si>
    <t>Binidayan, Tugaya, Ganassi, Lumbaca-Unayan, Tagoloan II, Wao.</t>
  </si>
  <si>
    <t>Rural health units submitting on time</t>
  </si>
  <si>
    <t>9 — one per municipality, plus the legacy Pikit Rural Health Unit inside Malidegao</t>
  </si>
  <si>
    <t>7 of 33</t>
  </si>
  <si>
    <t>6 — Kapalawan and Nabalawag report none</t>
  </si>
  <si>
    <t>Thirteen submit a complete report set; nine submit complete indicator data.</t>
  </si>
  <si>
    <t>Unresolved and material. It determines whether 54,691 residents have a first-referral facility. Referred to Task 3; both bases are computed in parallel throughout.</t>
  </si>
  <si>
    <t>Rural health units with data-quality issues flagged</t>
  </si>
  <si>
    <t>33 of 33</t>
  </si>
  <si>
    <t>Every assessed unit in the province.</t>
  </si>
  <si>
    <t>Provincial iClinicSys uptake</t>
  </si>
  <si>
    <t>Reported by the Integrated Provincial Health Office as a hard zero, not a blank. The national electronic medical record has no uptake in this province.</t>
  </si>
  <si>
    <t>Totals agree; composition does not. The register places six stations in Tugunan against eight enumerated, four in Ligawasan against five, and seven in Old Kaabakan against five.</t>
  </si>
  <si>
    <t>Other provincial reporting systems</t>
  </si>
  <si>
    <t>Self-help structures</t>
  </si>
  <si>
    <t>FHSIS 80%; PIDSR 71.7%; BARMMPEN 70%; LGU Health Scorecard 70%; eLMIS 95%; ITIS 95%; LIPH 100%</t>
  </si>
  <si>
    <t>The province operates at least nine parallel reporting systems. The Integrated Provincial Health Office attributes the shortfalls to inadequate personnel and equipment, competing workloads, erratic internet and power interruption.</t>
  </si>
  <si>
    <t>Not a register category; the three are typed as barangay health stations</t>
  </si>
  <si>
    <t>3 — Bagoenged (Ligawasan), Simbuhay and Tamped (Old Kaabakan)</t>
  </si>
  <si>
    <t>Iranun District Hospital (MOH-BARMM)</t>
  </si>
  <si>
    <t>Shown separately in every table and never reassigned to a tier. Routed to Task 6, which requires a facility type.</t>
  </si>
  <si>
    <t>SOURCE  ▸  LDS · (unlabelled) · §7 · §7.3 · p. 35</t>
  </si>
  <si>
    <t>Birthing facilities</t>
  </si>
  <si>
    <t>2 private birthing homes, 2 beds each, both “With License” to 31 December 2025</t>
  </si>
  <si>
    <t>None. All eight municipalities report no birthing facility; Pahamuddin lists one among its five priorities</t>
  </si>
  <si>
    <t>TITLE AS PRINTED  ▸  Beneath the service statistics lies a measurement constraint that bears on every rate in this document.</t>
  </si>
  <si>
    <t>Both printed. The register's entries are the only licensed facilities of any kind in the area and both licence dates have passed. Verification against current DOH-HFSRB records is Task 3.</t>
  </si>
  <si>
    <t>Hospitals, infirmaries, public beds</t>
  </si>
  <si>
    <t>0.9%BARMM share ofnational registered deaths</t>
  </si>
  <si>
    <t>5.1%BARMM share ofnational population</t>
  </si>
  <si>
    <t>Agreed. No inpatient tier exists.</t>
  </si>
  <si>
    <t>Camp Brig. Gen. S. K. Pendatun Hospital (DND)</t>
  </si>
  <si>
    <t>~1.2implied BARMM crudedeath rate per 1,000</t>
  </si>
  <si>
    <t>Barangays reached</t>
  </si>
  <si>
    <t>57 of 63</t>
  </si>
  <si>
    <t>SOURCE  ▸  MDN · TABLE 8 · §7 · §7.2 · p. 28</t>
  </si>
  <si>
    <t>63 of 63</t>
  </si>
  <si>
    <t>Both printed. The six barangays with no registration are named and routed to Task 6, because a facility not on the register cannot be licensed, accredited or funded.</t>
  </si>
  <si>
    <t>54 of 68 subclassified as owned by a local government unit; the 14 without an owner are the two birthing homes and all eight new municipal rural health units</t>
  </si>
  <si>
    <t>Not recorded</t>
  </si>
  <si>
    <t>Disclosed at §4.2 as an asset and control finding and referred to MILG-BARMM and DOH-HFSRB.</t>
  </si>
  <si>
    <t>Licensing status</t>
  </si>
  <si>
    <t>No policy issuance institutionalising FHSIS</t>
  </si>
  <si>
    <t>6 of 11</t>
  </si>
  <si>
    <t>Null for 64 of 68</t>
  </si>
  <si>
    <t>Barira, Datu Odin Sinsuat, Kabuntalan, Matanog, Northern Kabuntalan, Upi</t>
  </si>
  <si>
    <t>The other eight municipalities, combined</t>
  </si>
  <si>
    <t>“No LTO” recorded by every municipality as the obstacle to accreditation</t>
  </si>
  <si>
    <t>No line-item budget for FHSIS</t>
  </si>
  <si>
    <t>The licensing regime applicable to these facilities is an open regulatory question (§5.2) and is Task 2.</t>
  </si>
  <si>
    <t>5 of 11</t>
  </si>
  <si>
    <t>Barira, Datu Odin Sinsuat, Matanog, Northern Kabuntalan, Upi</t>
  </si>
  <si>
    <t>Focal person designated rather than permanent</t>
  </si>
  <si>
    <t>SOURCE  ▸  SGA · EXHIBIT 4 · §4 · §4.3 · p. 13</t>
  </si>
  <si>
    <t>Datu Odin Sinsuat, Kabuntalan, Northern Kabuntalan, Parang, Sultan Kudarat</t>
  </si>
  <si>
    <t>Recording tools reported inadequate</t>
  </si>
  <si>
    <t>4 of 11</t>
  </si>
  <si>
    <t>Barira, Buldon, Parang, Sultan Kudarat</t>
  </si>
  <si>
    <t>Staffing scored below the assessment threshold</t>
  </si>
  <si>
    <t>TITLE AS PRINTED  ▸  The missing tier</t>
  </si>
  <si>
    <t>11 of 11</t>
  </si>
  <si>
    <t>Every unit in the province — and every unit in BARMM</t>
  </si>
  <si>
    <t>Data quality flagged “with issue”</t>
  </si>
  <si>
    <t>Staff trained in ICD-10 or ICD-11 coding</t>
  </si>
  <si>
    <t>1 person</t>
  </si>
  <si>
    <t>Register</t>
  </si>
  <si>
    <t>One officer in Matanog, province-wide</t>
  </si>
  <si>
    <t>Municipal enumeration</t>
  </si>
  <si>
    <t>Electronic medical record available (iClinicSys)</t>
  </si>
  <si>
    <t>Against zero recorded uptake in Lanao del Sur</t>
  </si>
  <si>
    <t>Municipality absent from the assessment</t>
  </si>
  <si>
    <t>Hospital, any level</t>
  </si>
  <si>
    <t>1 of 12</t>
  </si>
  <si>
    <t>Sultan Mastura — its record is mis-keyed to Sultan Kudarat and drops from every provincial pivot</t>
  </si>
  <si>
    <t>SOURCE  ▸  MDN · (unlabelled) · §7 · §7.3 · p. 28</t>
  </si>
  <si>
    <t>Paglat</t>
  </si>
  <si>
    <t>TITLE AS PRINTED  ▸  ## 7.3 Civil registration and the invisible denominator</t>
  </si>
  <si>
    <t>2, both private</t>
  </si>
  <si>
    <t>5,552deaths registered inBARMM, 2024</t>
  </si>
  <si>
    <t>0.98implied deaths per 1,000residents, BARMM</t>
  </si>
  <si>
    <t>6.2deaths per 1,000residents, Philippines</t>
  </si>
  <si>
    <t>22.3%of BARMM births registeredlate — highest in the country</t>
  </si>
  <si>
    <t>SOURCE  ▸  MDS · TABLE 11 · §7 · §7.2 · p. 27</t>
  </si>
  <si>
    <t>TITLE AS PRINTED  ▸  The condition of routine reporting, Maguindanao del Sur against the assessed areas</t>
  </si>
  <si>
    <t>Self-help structure</t>
  </si>
  <si>
    <t>not a register class</t>
  </si>
  <si>
    <t>Diagnostic laboratory</t>
  </si>
  <si>
    <t>Mean capacity score (of 50)</t>
  </si>
  <si>
    <t>Share scoring 0.75 or above</t>
  </si>
  <si>
    <t>SOURCE  ▸  SGA · EXHIBIT 5 · §4 · §4.4 · p. 13</t>
  </si>
  <si>
    <t>Datu Salibo</t>
  </si>
  <si>
    <t>Policy issuance creating an FHSIS unit — yes</t>
  </si>
  <si>
    <t>FHSIS line-item budget in the unit — yes</t>
  </si>
  <si>
    <t>Register basis</t>
  </si>
  <si>
    <t>Operating basis</t>
  </si>
  <si>
    <t>Against the standard</t>
  </si>
  <si>
    <t>Inside on the register basis only, and only because of the legacy Pikit unit</t>
  </si>
  <si>
    <t>Units with at least one laptop</t>
  </si>
  <si>
    <t>Exceeds on both bases</t>
  </si>
  <si>
    <t>Units with at least one printer or scanner</t>
  </si>
  <si>
    <t>no unit reported</t>
  </si>
  <si>
    <t>Exceeds on the register basis; no first-referral facility on its own account</t>
  </si>
  <si>
    <t>22 of 22 (100%)</t>
  </si>
  <si>
    <t>Staff trained in iClinicSys (total)</t>
  </si>
  <si>
    <t>Datu Unsay</t>
  </si>
  <si>
    <t>Staff trained in ICD-10/11 coding (total)</t>
  </si>
  <si>
    <t>SOURCE  ▸  SGA · TABLE 8 · §7 · §7.1 · p. 25</t>
  </si>
  <si>
    <t>Inside on both bases</t>
  </si>
  <si>
    <t>Municipalities assessed</t>
  </si>
  <si>
    <t>2 of 8</t>
  </si>
  <si>
    <t>Nabalawag and Pahamuddin. Kadayangan, Kapalawan, Ligawasan, Malidegao, Old Kaabakan and Tugunan — 169,941 residents — do not appear. Their status is recorded as not assessed, not as failing.</t>
  </si>
  <si>
    <t>11 units required; short 2 on the register, short 5 on operations</t>
  </si>
  <si>
    <t>Designated FHSIS unit</t>
  </si>
  <si>
    <t>2 of 2</t>
  </si>
  <si>
    <t>Both assessed municipalities hold one. This is the one favourable finding in the assessment.</t>
  </si>
  <si>
    <t>Funding attached to the unit</t>
  </si>
  <si>
    <t>Both recorded “No but submit reports.” An unfunded designation rather than a reporting failure.</t>
  </si>
  <si>
    <t>Staff complement</t>
  </si>
  <si>
    <t>0 of 2 at or above two</t>
  </si>
  <si>
    <t>Both recorded “Below 2.”</t>
  </si>
  <si>
    <t>Report submission</t>
  </si>
  <si>
    <t>“No report” for both.</t>
  </si>
  <si>
    <t>Completeness for all indicators</t>
  </si>
  <si>
    <t>Timeliness</t>
  </si>
  <si>
    <t>Data quality</t>
  </si>
  <si>
    <t>0 of 2 clean</t>
  </si>
  <si>
    <t>“With issue” for both.</t>
  </si>
  <si>
    <t>EBDM capacity index</t>
  </si>
  <si>
    <t>0.20 and 0.25</t>
  </si>
  <si>
    <t>In an assessment covering 68 scored units across Lanao del Sur, Maguindanao del Sur, Maguindanao del Norte and the Special Geographic Area. The rank of these two values within the 68 was not obtained and is not asserted.</t>
  </si>
  <si>
    <t>The municipalities' own account of the same domain</t>
  </si>
  <si>
    <t>99.8% timeliness | 97.7% completeness</t>
  </si>
  <si>
    <t>Reported by all eight municipalities across 66 facility records. Above the BARMM component means of 94.4 and 96.1 per cent. The two accounts are not reconcilable as measurements of the same object and are treated at §7.2.</t>
  </si>
  <si>
    <t>SGA · ANNEX A · § · page not in contents list</t>
  </si>
  <si>
    <t>Rural health units are on the REGISTER basis (RHU reg.); the operating basis is lower (6 area-wide against 9 registered). 'With a facility' is the municipalities' own enumeration of service points, which reaches 63 of 63 barangays; the national register reaches 57.</t>
  </si>
  <si>
    <t>D09 — RECONCILIATION AND DIVERGENCES</t>
  </si>
  <si>
    <t>SOURCE  ▸  BARMM · EXHIBIT 7 · §9 · p. 26</t>
  </si>
  <si>
    <t>SOURCE  ▸  SGA · EXHIBIT 9 · §6 · §6.1 · p. 23</t>
  </si>
  <si>
    <t>TITLE AS PRINTED  ▸  Five divergences between the administrative record and independent measurement</t>
  </si>
  <si>
    <t>TITLE AS PRINTED  ▸  Every referral path leaves the jurisdiction</t>
  </si>
  <si>
    <t>Phenomenon</t>
  </si>
  <si>
    <t>D10 — GOVERNANCE AND LEGAL FRAMEWORK</t>
  </si>
  <si>
    <t>The administrative record</t>
  </si>
  <si>
    <t>5 tables reproduced verbatim from the five diagnostics. Each block is preceded by its locator: report code, table or exhibit label, section number, subsection number and the page printed in that report's own contents list.</t>
  </si>
  <si>
    <t>Which is load-bearing</t>
  </si>
  <si>
    <t>Feature</t>
  </si>
  <si>
    <t>SOURCE  ▸  BARMM · TABLE 10 · §11 · p. 30</t>
  </si>
  <si>
    <t>Immunisation</t>
  </si>
  <si>
    <t>Unweighted municipal means: 80.4% (LDS, six values above 100%), 60.1% (MDN) and 58.1% (MDS). These are not provincial population-weighted rates. SGA not measured.</t>
  </si>
  <si>
    <t>What it means</t>
  </si>
  <si>
    <t>2025 NDHS BARMM: 22.1% basic-antigen coverage and 13.0% full national-schedule coverage. Historical 2022 baseline: 18.1% basic-antigen coverage and 59.9% zero-dose. World Bank North Cotabato stratum, 2019: 3% fully vaccinated.</t>
  </si>
  <si>
    <t>Referral linkage recorded</t>
  </si>
  <si>
    <t>The 2025 survey is the current regional benchmark. The municipal series remains useful for targeting but cannot be compared through a simple overstatement factor. The 2024 outbreak confirms inadequate immunity at that time and the need to validate denominators; it does not establish a permanent conversion between the two systems.</t>
  </si>
  <si>
    <t>Childbirth</t>
  </si>
  <si>
    <t>63 of 66 record “up” only</t>
  </si>
  <si>
    <t>Unweighted municipal means: 82.1% (LDS), 59.6% (MDN, 2018) and 58.8% (MDS, 2018). Two LDS municipal values are 0.0% and two are 100%.</t>
  </si>
  <si>
    <t>Station to rural health unit. Two records name a hospital; one records a two-way linkage.</t>
  </si>
  <si>
    <t>TITLE AS PRINTED  ▸  Legal obligations engaged by the consolidated findings</t>
  </si>
  <si>
    <t>2025 NDHS BARMM: 68.6% facility delivery. Historical 2022 baseline: 39.1% facility delivery, 42.4% skilled attendance, 60.5% home delivery and 51.2% traditional-birth-attendant delivery. One MDN municipality’s own 2025 FHSIS return: 18.4%.</t>
  </si>
  <si>
    <t>Hospitals named inside the area</t>
  </si>
  <si>
    <t>The current regional benchmark does not support a BARMM-wide home-delivery majority. The local Matanog value remains a municipal administrative signal, not a provincial estimate. Provincial conclusions require current birth numerators and denominators.</t>
  </si>
  <si>
    <t>Notification 162.9, 158.7 and 163.29 per 100,000. Treatment success exactly 100.0% in 21 of 40, 14 of 24 and 5 of 12 municipalities.</t>
  </si>
  <si>
    <t>There are none to name. The nearest inpatient facilities are in Cotabato Province (Region XII), Maguindanao del Norte and Maguindanao del Sur.</t>
  </si>
  <si>
    <t>Instrument</t>
  </si>
  <si>
    <t>WHO Philippine incidence estimates of 632 per 100,000 (2024, used by LDS) and 625 per 100,000 (2025, 95% UI 344–1,020, used by the two Maguindanao provinces), implying detection of 25.7%, 27.7% and 26.3%.</t>
  </si>
  <si>
    <t>Municipalities with no rural health unit on their own account</t>
  </si>
  <si>
    <t>The estimate for magnitude; the municipal spread for targeting. Order of magnitude only. The 100.0% returns are a reporting convention, not a clinical result.</t>
  </si>
  <si>
    <t>Provision</t>
  </si>
  <si>
    <t>2 — Kapalawan, Nabalawag</t>
  </si>
  <si>
    <t>Financial protection</t>
  </si>
  <si>
    <t>What it engages here</t>
  </si>
  <si>
    <t>54,691 residents for whom the first step of the chain is also absent, though the register carries a unit in each.</t>
  </si>
  <si>
    <t>100% coverage in law (RA 11223 §5). 463,952, 312,635 and 288,866 registered members; 229 accreditations across the four jurisdictions.</t>
  </si>
  <si>
    <t>Who acts</t>
  </si>
  <si>
    <t>NDHS: 41.9% of BARMM women report any coverage, 57.9% none. PhilHealth: conversion 2.1% where computable, not reported for either Maguindanao province, no separate line for the SGA.</t>
  </si>
  <si>
    <t>Median referral turnaround</t>
  </si>
  <si>
    <t>Neither, until the disaggregation is obtained. This is the only stage in the series where the load-bearing figure does not exist for two jurisdictions and cannot be constructed for a third.</t>
  </si>
  <si>
    <t>Local Government Code of 1991 | RA No. 7160</t>
  </si>
  <si>
    <t>40 minutes (n = 64)</t>
  </si>
  <si>
    <t>Commodities, water and the record</t>
  </si>
  <si>
    <t>§17 — devolution of primary health care, maternal and child care, communicable and non-communicable disease control, purchase of medicines and equipment; §§102–105 local health boards; §287 the 20% Development Fund</t>
  </si>
  <si>
    <t>Range 5 to 120 minutes. 54 of 64, or 84.4 per cent, within an hour.</t>
  </si>
  <si>
    <t>No-stockout returns exactly 0.0% in 18 of 24 MDS municipalities and exactly 100.0% in 6, with no intermediate value. Safely managed water returns 0.00–0.28% across all 24. Budget utilisation exactly 100.0% in 23 of 24.</t>
  </si>
  <si>
    <t>World Bank: 31.6% essential-medicine availability across BARMM rural health units; thiazides 4.1%, statins 19.5%, aspirin 5–10%. NDHS: 17.8% open defecation, 5.9× the national rate.</t>
  </si>
  <si>
    <t>1,215 barangays without a registered first-contact facility on the four volumes’ own definitions; permanent FHSIS and primary-care positions; the Development Fund of the eight SGA municipalities, computed on an allotment they do not appear to receive</t>
  </si>
  <si>
    <t>Longest municipal median</t>
  </si>
  <si>
    <t>Neither, without correction. A field with two states is not a measurement. One volume recommends its own province-wide "water safety crisis" alert be withdrawn until the denominator is confirmed.</t>
  </si>
  <si>
    <t>Mayors and Sangguniang Bayan; Governors and Sangguniang Panlalawigan</t>
  </si>
  <si>
    <t>120 minutes — Nabalawag</t>
  </si>
  <si>
    <t>SOURCE  ▸  LDS · EXHIBIT 10 · §8 · p. 36</t>
  </si>
  <si>
    <t>Universal Health Care Act | RA No. 11223 (20 Feb 2019)</t>
  </si>
  <si>
    <t>From every one of its seven barangays; the maximum value recorded anywhere in the cohort, in one of the two municipalities reporting no rural health unit.</t>
  </si>
  <si>
    <t>§5 automatic NHIP membership; §6(c) the primary care provider as navigator; §17 and §19 integration into province-wide systems (both hortatory — "shall endeavor to"); §18 PhilHealth contracting of provider networks; §§20–21 the Special Health Fund and the accrual of PhilHealth income to it; §24 GIDA deployment priority</t>
  </si>
  <si>
    <t>Shortest municipal median</t>
  </si>
  <si>
    <t>Conversion of 2.1% where computable and unmeasurable elsewhere; the uncontracted private tier holding 39% of one province’s beds; the absence of any published network document; the SGA, where the province-assuming machinery has no addressee</t>
  </si>
  <si>
    <t>10 minutes — Kadayangan</t>
  </si>
  <si>
    <t>PhilHealth; MOH-BARMM; DOH; Provincial Health Boards</t>
  </si>
  <si>
    <t>Kadayangan is one of two municipalities whose rural health unit names a hospital as its onward destination.</t>
  </si>
  <si>
    <t>Bangsamoro Organic Law | RA No. 11054 (27 Jul 2018)</t>
  </si>
  <si>
    <t>Art. III §2 constitution of the territory; Art. V §2(bb) health, §2(rr) quarantine, §2(ss) registration of births, marriages and deaths, copies furnished the PSA; Art. VII §27 highest budgetary priority to health; Art. IX §22 an integrated health service delivery policy and a general hospital system established by law</t>
  </si>
  <si>
    <t>Published service-delivery network</t>
  </si>
  <si>
    <t>Which is load-bearing, and why</t>
  </si>
  <si>
    <t>Registered-death undercount is evident, but completeness is not measured; the absence of a regional hospital-system instrument remains.</t>
  </si>
  <si>
    <t>None</t>
  </si>
  <si>
    <t>Bangsamoro Parliament; MOH-BARMM; the region needs no national action to fix its own denominators</t>
  </si>
  <si>
    <t>No document tells a midwife in any of the 63 barangays which facility is to receive her patient.</t>
  </si>
  <si>
    <t>Bangsamoro Local Governance Code of 2023 | Bangsamoro Autonomy Act No. 49</t>
  </si>
  <si>
    <t>Referral completion rate</t>
  </si>
  <si>
    <t>§17 duty to promote health and sanitation; §19 Marawi City’s devolution status; §20 ministerial or higher-LGU augmentation where a basic service is unavailable or inadequate, coupled with a duty to capacitate; §§114–117 local health boards, including §114(a)(4) co-chairmanship by the highest MOH official where devolved powers are not fully exercised, and §117 ministerial assumption of control during an epidemic for a cumulative period not exceeding six months; §512(II)(c)(8) provincial management of local health systems pursuant to RA 11223</t>
  </si>
  <si>
    <t>ImmunizationFull basic coverage, children 12–23 months</t>
  </si>
  <si>
    <t>No observations</t>
  </si>
  <si>
    <t>Unweighted municipal mean 80.4%; municipal values 6.6–113.9%; six above 100%; BARMM administrative MCV1 60%</t>
  </si>
  <si>
    <t>Eleven municipalities with no registered station at all; a municipality with two facilities for seventeen barangays; local health boards documented as absent or requiring reactivation in four jurisdictions; the 2023–2024 outbreak, on whose engagement of §117 the volumes disagree (Annex D, item 7)</t>
  </si>
  <si>
    <t>2025 NDHS BARMM: 22.1% basic-antigen coverage; 13.0% full national-schedule coverage. Historical 2022 baseline: 18.1% basic-antigen, 21.9% MCV1, 59.9% zero-dose. Weighted n = 98; unweighted cases = 180.</t>
  </si>
  <si>
    <t>Reported by none of the eight municipalities, and by no unit anywhere in the region. Referral efficiency is not computable.</t>
  </si>
  <si>
    <t>Chief Minister; Minister of Health; Governors; Provincial and Municipal Health Boards</t>
  </si>
  <si>
    <t>The 2025 NDHS is the current regional benchmark. Values above 100 per cent identify denominator defects in the municipal series. The 2024 outbreak confirms inadequate immunity at that time but does not establish a fixed administrative-to-survey conversion.</t>
  </si>
  <si>
    <t>Charter of the two Maguindanao provinces | RA No. 11550 (27 May 2021; ratified 17 Sep 2022)</t>
  </si>
  <si>
    <t>ChildbirthFacility delivery and skilled attendance</t>
  </si>
  <si>
    <t>Unweighted municipal mean: 82.1% facility delivery and 90.4% skilled attendance; two municipal values at 0.0% and two at 100%</t>
  </si>
  <si>
    <t>§3 enumeration of constituent municipalities; §5 capitals — Datu Odin Sinsuat and Buluan; §9 Cotabato City attached to the Maguindanao del Norte legislative district only; §32 the mandatory Provincial Health Officer; §53 real property vesting</t>
  </si>
  <si>
    <t>2025 NDHS BARMM: 68.6% facility delivery. Historical 2022 baseline: 39.1% facility delivery, 42.4% skilled attendance and 51.2% traditional-birth-attendant delivery. Weighted births = 188; unweighted cases = 345.</t>
  </si>
  <si>
    <t>The Cotabato City correction, without which no Maguindanao del Norte figure is safe; the Maguindanao del Sur capital correction, which the pipeline still carries as "Shariff Aguak (Capital)"</t>
  </si>
  <si>
    <t>The current regional benchmark does not support a BARMM-wide home-delivery majority. The administrative extremes still require denominator and reporting validation; current municipal birth numerators and denominators are needed for provincial programming.</t>
  </si>
  <si>
    <t>Governors; PSA; the EBDM data team</t>
  </si>
  <si>
    <t>TuberculosisDetection and cure</t>
  </si>
  <si>
    <t>Provincial notification 162.9 per 100,000; treatment success exactly 100% in 21 of 40 municipalities</t>
  </si>
  <si>
    <t>Creation of the SGA municipalities | Bangsamoro Autonomy Acts Nos. 41–48 (2023)</t>
  </si>
  <si>
    <t>WHO-estimated Philippine incidence 632 per 100,000; implied provincial detection 25.7%</t>
  </si>
  <si>
    <t>Creation of the eight municipalities, enacted 17 August 2023, ratified 13 April 2024; monthly Bangsamoro financial assistance "until they receive their share in the National Tax Allotment"</t>
  </si>
  <si>
    <t>The estimate, for magnitude; the municipal spread, for targeting. An 18-fold notification range between municipalities in one province is more plausibly interpreted as variation in case finding than as a difference in underlying epidemiology, and a 100 percent cure rate across a full cohort warrants review of cohort definition and loss to follow-up.</t>
  </si>
  <si>
    <t>A financing clause conditional on an event that may not occur, with no terminus; eight local government units operating on a subsidy whose statutory basis is transitional</t>
  </si>
  <si>
    <t>Financial protectionInsurance coverage and effect</t>
  </si>
  <si>
    <t>Bangsamoro Treasury; DBM; Parliament Committee on Finance</t>
  </si>
  <si>
    <t>PhilHealth reports 100% population coverage — correct in law under RA 11223 s.5; LDS 463,952 registered members; 291,084 Konsulta registrations</t>
  </si>
  <si>
    <t>DOH issuances</t>
  </si>
  <si>
    <t>NDHS 2022: 41.9% of BARMM women report any coverage; 57.9% report none of any kind. PhilHealth’s own returns: 6,250 first encounters, ₱1.09m paid</t>
  </si>
  <si>
    <t>Both, on different questions. Entitlement is universal; effective coverage is under half; utilization is 2.1 percent of registrations. The load-bearing figure for policy is the utilization rate, because it is the only one that measures whether money reached a patient.</t>
  </si>
  <si>
    <t>AO No. 2020-0021 (22 May 2020) integration of local health systems, requiring provider networks and linking memoranda; AO No. 2020-0043 (27 May 2020) GIDA identification; Department Circular No. 2020-0176, the Manual of Standards for Primary Care Facilities; AO No. 2020-0047 as amended</t>
  </si>
  <si>
    <t>No catchment map in any jurisdiction; no GIDA determination in three of four; the 1:20,000 standard misapplied series-wide; a "self-help facility" class that does not exist in the standards and appears 89 times in one province and three times in another</t>
  </si>
  <si>
    <t>Safely managed drinking water reported as 0.0% by 31 of 40 municipalities; provincial 1.56%</t>
  </si>
  <si>
    <t>DOH-HFSRB; DOH Bureau of Local Health Systems Development; MOH-BARMM</t>
  </si>
  <si>
    <t>NDHS 2022 BARMM: 80.2% with at least basic water; 17.8% open defecation; 12.8% unimproved sanitation</t>
  </si>
  <si>
    <t>Mandanas v. Ochoa | G.R. Nos. 199802 and 208488 (S.C., 3 July 2018)</t>
  </si>
  <si>
    <t>Neither, without correction. A hard zero repeated by 31 units is non-reporting, and no “safely managed” estimate exists for the Philippines in NDHS 2022. Use the “at least basic” ladder and label it. The open-defecation figure — 5.9 times the national rate — is the actionable one.</t>
  </si>
  <si>
    <t>LGU shares computed on all national taxes; implemented from FY2022</t>
  </si>
  <si>
    <t>The National Tax Allotment is the standing local fund for devolved health obligations in the three provinces. It does not reach the eight SGA municipalities if the assessment at §6.3 holds, because it enlarges a share they do not receive</t>
  </si>
  <si>
    <t>SOURCE  ▸  MDN · EXHIBIT 11 · §8 · p. 30</t>
  </si>
  <si>
    <t>DBM; Bureau of Local Government Finance; Mayors and Sanggunian</t>
  </si>
  <si>
    <t>UHC-BARMM implementing rules | MOH-BARMM and DOH, signed 26 April 2021</t>
  </si>
  <si>
    <t>Establishment of a Regional Management Council to supervise integration across the care continuum</t>
  </si>
  <si>
    <t>No public network document from the Council was located for any of the four jurisdictions</t>
  </si>
  <si>
    <t>MOH-BARMM — this is the single clearest unexercised instrument in the consolidation</t>
  </si>
  <si>
    <t>SOURCE  ▸  LDS · TABLE 8 · §9 · p. 38</t>
  </si>
  <si>
    <t>Unweighted municipal FIC mean 60.1%, range 41.2–85.3%; no value above 100%</t>
  </si>
  <si>
    <t>2025 NDHS BARMM: 22.1% basic-antigen coverage and 13.0% full national schedule. Historical 2022 baseline: 18.1% basic-antigen, 21.9% MCV1 and 59.9% zero-dose. 2019 undivided-province survey: 30% with no vaccination history.</t>
  </si>
  <si>
    <t>TITLE AS PRINTED  ▸  Legal obligations engaged by the findings</t>
  </si>
  <si>
    <t>The 2025 NDHS is the current regional benchmark. The municipal series is useful for targeting but is not a provincial weighted rate. The outbreak supports validation and catch-up action; no simple overstatement factor is computed.</t>
  </si>
  <si>
    <t>Unweighted municipal means: facility delivery 59.6% and skilled attendance 76.2% in 2018. Sultan Mastura 98.0%; Datu Blah T. Sinsuat 24.0%.</t>
  </si>
  <si>
    <t>2025 NDHS BARMM: 68.6% facility delivery. Historical 2022 baseline: 39.1% facility, 42.4% skilled and 51.2% traditional-birth-attendant delivery. Matanog 2025 FHSIS: 18.4%, subject to source verification.</t>
  </si>
  <si>
    <t>The current regional benchmark does not support a BARMM-wide home-delivery majority. Matanog’s local discrepancy warrants municipal verification and cannot be generalized to the province.</t>
  </si>
  <si>
    <t>Provision and substance</t>
  </si>
  <si>
    <t>Finding engaged</t>
  </si>
  <si>
    <t>Notification mean 158.7 per 100,000, range 70.3–303.6. Treatment success exactly 100.0% in five of twelve municipalities.</t>
  </si>
  <si>
    <t>Who must act</t>
  </si>
  <si>
    <t>WHO estimated Philippine incidence 625 per 100,000 (95% UI 344–1,020) implies 27.7% detection — roughly 3,349 cases a year not notified.</t>
  </si>
  <si>
    <t>The estimate, for magnitude; the municipal spread, for targeting. The fourfold municipal range measures case-finding effort, not disease distribution. Treatment success at exactly 100 is not used.</t>
  </si>
  <si>
    <t>National</t>
  </si>
  <si>
    <t>100% coverage in law under RA 11223 §5. 312,635 registered members; 52 accredited institutions; 13 accredited rural health units.</t>
  </si>
  <si>
    <t>48.2% self-reported household membership; 96.0% of the most recent illness paid out of pocket. Konsulta conversion not reported for this province.</t>
  </si>
  <si>
    <t>Neither, without disaggregation. The one measurement that would establish whether money reached a patient is published only for the abolished undivided province. This is the report’s highest-priority evidence request.</t>
  </si>
  <si>
    <t>Local Government Code (1991)Republic Act No. 7160</t>
  </si>
  <si>
    <t>Facility stock</t>
  </si>
  <si>
    <t>Section 17 devolves to municipalities the implementation of primary health care, maternal and child care and communicable and non-communicable disease control, the purchase of medicines and equipment, and access to secondary and tertiary services. Creation and funding of permanent health positions rests with the local chief executive and the Sanggunian.</t>
  </si>
  <si>
    <t>National registry: 224 facilities in the twelve municipalities, 178 stations across 175 barangays.</t>
  </si>
  <si>
    <t>Workshop record: 207 cleaned service locations in the same twelve municipalities; 29 of them self-help or reporting no facility.</t>
  </si>
  <si>
    <t>Sections 4.5, 4.2, 5.3, 7.2 — absent stations, over-standard catchments, absent claims officers, unfunded FHSIS posts</t>
  </si>
  <si>
    <t>Both — and they agree. An 8 per cent divergence between independent instruments, with municipal gap statements matching registry gaps to within one barangay. This is the only domain in which the province can allocate on present evidence.</t>
  </si>
  <si>
    <t>Mayor and Sanggunian of each municipality</t>
  </si>
  <si>
    <t>Universal Health Care Act (2019)Republic Act No. 11223, approved 20 February 2019</t>
  </si>
  <si>
    <t>SOURCE  ▸  MDS · TABLE 3 · §2 · §2.5 · p. 10</t>
  </si>
  <si>
    <t>Section 5 makes NHIP membership automatic for every Filipino. Section 6(c) requires DOH and LGUs to afford every Filipino a primary care provider acting as navigator and continuing point of contact. Section 19 requires integration into province-wide health systems. Section 20 requires pooling of all health resources through a special health fund.</t>
  </si>
  <si>
    <t>Sections 5.1–5.4 and 6.4 — the entitlement/utilization gap, the absent provider network, the uncapitalized fund</t>
  </si>
  <si>
    <t>Province, MOH-BARMM, PhilHealth, DOH</t>
  </si>
  <si>
    <t>TITLE AS PRINTED  ▸  Two artefacts, one province</t>
  </si>
  <si>
    <t>Magna Carta of Public Health Workers (1992)Republic Act No. 7305, 26 March 1992</t>
  </si>
  <si>
    <t>Hazard, subsistence and laundry allowances for permanent public health workers.</t>
  </si>
  <si>
    <t>Section 12 — the permanent-position program; the scorecard records full provision in 39 of 40 LGUs but permanent posts are the binding constraint</t>
  </si>
  <si>
    <t>Circulated provincial dashboard</t>
  </si>
  <si>
    <t>Facility register and atlas</t>
  </si>
  <si>
    <t>Mayor and Sanggunian</t>
  </si>
  <si>
    <t>Municipalities represented</t>
  </si>
  <si>
    <t>Department of Health (2020a, 2020c)Administrative Order No. 2020-0047 as amended; Manual of Standards for Primary Care Facilities, Department Circular No. 2020-0176, 13 April 2020</t>
  </si>
  <si>
    <t>2 — Datu Paglas, Shariff Aguak</t>
  </si>
  <si>
    <t>Licensure rules and minimum standards for primary care facilities. “Self-help facility” is not a recognized class.</t>
  </si>
  <si>
    <t>Section 4.8 — 89 service-location rows labeled self-help must be classified under a recognized category with a named supervising facility</t>
  </si>
  <si>
    <t>Municipal health offices; MOH-BARMM</t>
  </si>
  <si>
    <t>Mandanas v. Ochoa (2018)G.R. Nos. 199802 and 208488, decided 3 July 2018; implemented from FY2022</t>
  </si>
  <si>
    <t>LGU shares computed on all national taxes rather than national internal revenue taxes; the resulting National Tax Allotment is the standing local fund against which devolved health obligations are financed.</t>
  </si>
  <si>
    <t>Planning-priority records</t>
  </si>
  <si>
    <t>Section 12 — the financing route for permanent positions and station construction</t>
  </si>
  <si>
    <t>Mayor and Sanggunian; DBM</t>
  </si>
  <si>
    <t>Improvement-plan records</t>
  </si>
  <si>
    <t>Bangsamoro</t>
  </si>
  <si>
    <t>Province-wide revenue potential</t>
  </si>
  <si>
    <t>Bangsamoro Organic Law (2018)Republic Act No. 11054, approved 27 July 2018</t>
  </si>
  <si>
    <t>₱10,539,290 parsed of ≥₱25.7 million stated</t>
  </si>
  <si>
    <t>Article V, Section 2 vests authority over health (item bb) and over the registration of births, marriages and deaths (item ss) in the Bangsamoro Government. Article IX, Section 22 requires a comprehensive and integrated health service delivery policy and the establishment by law of a general hospital system.</t>
  </si>
  <si>
    <t>SOURCE  ▸  MDS · EXHIBIT 6 · §8 · p. 29</t>
  </si>
  <si>
    <t>Sections 6.2 and 7.3 — hospital-network redundancy; the civil-registration deficit and the legal power to correct it</t>
  </si>
  <si>
    <t>Bangsamoro Parliament; MOH-BARMM</t>
  </si>
  <si>
    <t>Bangsamoro Local Governance Code (2023)Bangsamoro Autonomy Act No. 49</t>
  </si>
  <si>
    <t>Section 17 obliges every LGU to promote health, nutrition, sanitation and access to clean water. Section 19 preserves Marawi City’s full devolution status. Section 20 permits Bangsamoro ministries or the next higher LGU to provide or augment basic services where these are unavailable or inadequate, coupled with a duty to capacitate the lower unit at the earliest opportunity. Sections 114 to 117 constitute the local health boards, chaired by the Governor with the Provincial Health Officer as vice-chair, with functions including proposing annual budgetary allocations for health facilities. Section 117 permits the Minister of Health, on the direction of the Chief Minister, to assume direct supervision of an LGU’s health operations during an epidemic for a cumulative period not exceeding six months.</t>
  </si>
  <si>
    <t>Section 20 is engaged by the eleven municipalities with no registered station and the eight with two facilities or fewer. Sections 114–117 are engaged by the 17 LGUs without a functional local health board and by the absent catchment map. Section 117 was engaged by the 2023–2024 measles outbreak.</t>
  </si>
  <si>
    <t>Governor and Provincial Health Board; Minister of Health</t>
  </si>
  <si>
    <t>Unweighted municipal fully-immunized-child mean 58.1%, range 24.4–89.1; no value above 100%</t>
  </si>
  <si>
    <t>2025 NDHS BARMM: 22.1% basic-antigen coverage and 13.0% full national schedule. Historical 2022 baseline: 18.1% basic-antigen and 59.9% zero-dose. World Bank, undivided Maguindanao: 30% zero-dose and 74.9% missed opportunities.</t>
  </si>
  <si>
    <t>The 2025 NDHS is the current regional benchmark; the municipal series is useful for targeting but is not a provincial rate. The World Bank missed-opportunity finding supports improving contact quality. No simple administrative-to-survey factor is computed.</t>
  </si>
  <si>
    <t>SOURCE  ▸  MDN · TABLE 9 · §9 · p. 32</t>
  </si>
  <si>
    <t>Unweighted municipal means: facility delivery 58.8% and skilled attendance 74.4% in 2018, the last year carried by the instrument</t>
  </si>
  <si>
    <t>2025 NDHS BARMM: 68.6% facility delivery. Historical 2022 baseline: 39.1% facility delivery, 42.4% skilled attendance and 51.2% traditional-birth-attendant delivery.</t>
  </si>
  <si>
    <t>The current regional survey does not support a BARMM-wide home-delivery majority. Current municipal delivery numerators and denominators were not located; obtain them before setting a provincial delivery target.</t>
  </si>
  <si>
    <t>Provincial notification approximately 163 per 100,000; treatment success exactly 100% in 14 of 24 municipalities</t>
  </si>
  <si>
    <t>WHO-estimated Philippine incidence 625 per 100,000 (95% UI 344–1,020); implied provincial detection 26.3%</t>
  </si>
  <si>
    <t>The estimate for magnitude, the municipal spread for targeting. A 4.6-fold notification range within one province is more plausibly variation in case-finding than in epidemiology; a 100 per cent cure rate across a full cohort warrants review of cohort definition and loss to follow-up.</t>
  </si>
  <si>
    <t>PhilHealth reports 100% coverage in law; 288,866 registered members; 91 accreditations, the largest base in BARMM</t>
  </si>
  <si>
    <t>NDHS 2022: 41.9% of BARMM women report any coverage. PhilHealth's own return: conversion and payments not disaggregated from Maguindanao del Norte; undivided Maguindanao converted 2.1% and was paid ₱1.07m</t>
  </si>
  <si>
    <t>Neither, until the disaggregation is obtained. Entitlement is universal; accreditation is the region's largest; utilization is unknown. This is the only stage in this report where the load-bearing figure is not yet available.</t>
  </si>
  <si>
    <t>Commodities and water</t>
  </si>
  <si>
    <t>No-stockout reported at exactly 0% by 18 municipalities and exactly 100% by 6; safely managed water reported between 0.00 and 0.28% across all 24</t>
  </si>
  <si>
    <t>World Bank, BARMM rural health units: essential medicines availability 31.6%; aspirin 5–10%; thiazides lower. NDHS 2022 BARMM: 17.8% open defecation</t>
  </si>
  <si>
    <t>Neither, without correction. A perfectly bimodal field and a field two orders of magnitude below sibling provinces are measurement issues, not findings. The open-defecation figure and the World Bank medicines availability are the usable numbers.</t>
  </si>
  <si>
    <t>Local Government Code of 1991Republic Act No. 7160, 10 Oct 1991</t>
  </si>
  <si>
    <t>SOURCE  ▸  SGA · EXHIBIT 10 · §7 · §7.2 · p. 25</t>
  </si>
  <si>
    <t>§17(b)(1)(ii) barangay health centre; §17(b)(2)(iii) municipal primary health care, maternal and child care, medicines and equipment; §17(b)(3)(iv) provincial hospitals and tertiary services; §§102–105 local health boards.</t>
  </si>
  <si>
    <t>46 barangays with no registered station (§4.1); eight municipalities with no bed (§6.2).</t>
  </si>
  <si>
    <t>Municipal mayors and Sangguniang Bayan; Provincial Governor and Sangguniang Panlalawigan.</t>
  </si>
  <si>
    <t>TITLE AS PRINTED  ▸  Two accounts of the same reporting performance</t>
  </si>
  <si>
    <t>Universal Health Care ActRepublic Act No. 11223, 20 Feb 2019</t>
  </si>
  <si>
    <t>The municipalities' account</t>
  </si>
  <si>
    <t>The Ministry's assessment</t>
  </si>
  <si>
    <t>§5 automatic NHIP membership; §7 population-based services free at point of service; §19 integration into province-wide health systems and the Provincial Health Board; §20 Special Health Fund.</t>
  </si>
  <si>
    <t>All eight municipalities, 66 facility records, May 2026</t>
  </si>
  <si>
    <t>Konsulta conversion of 2.12 per cent for undivided Maguindanao, not reported for this province (§5.3); the Special Health Fund is not yet constituted (§5.4).</t>
  </si>
  <si>
    <t>Two municipalities — Nabalawag and Pahamuddin — November–December 2025</t>
  </si>
  <si>
    <t>Provincial Health Board; MOH-BARMM; PhilHealth Regional Office.</t>
  </si>
  <si>
    <t>Reporting timeliness</t>
  </si>
  <si>
    <t>DOH Administrative Order No. 2020-002122 May 2020</t>
  </si>
  <si>
    <t>99.8 per cent, against the BARMM component mean of 94.4</t>
  </si>
  <si>
    <t>“No report” for both units</t>
  </si>
  <si>
    <t>Guidelines on integration of local health systems into province-wide and city-wide health systems; requires health care provider networks and memoranda of agreement linking primary to secondary and tertiary providers.</t>
  </si>
  <si>
    <t>Data completeness</t>
  </si>
  <si>
    <t>97.7 per cent, against a BARMM mean of 96.1</t>
  </si>
  <si>
    <t>No published catchment map or network document for this province (§6.4).</t>
  </si>
  <si>
    <t>MOH-BARMM; Provincial Health Board; the Department of Health for its retained facilities.</t>
  </si>
  <si>
    <t>DOH Administrative Order No. 2020-004327 May 2020</t>
  </si>
  <si>
    <t>Not separately reported</t>
  </si>
  <si>
    <t>“With issue” for both units</t>
  </si>
  <si>
    <t>Guidelines on identifying geographically isolated and disadvantaged areas and strengthening their health systems; the DOH Bureau of Local Health Systems Development maintains the barangay-level list.</t>
  </si>
  <si>
    <t>Composite capability</t>
  </si>
  <si>
    <t>No GIDA determination for Maguindanao del Norte could be obtained (Annex C, item 5).</t>
  </si>
  <si>
    <t>Composite score 50.0 of 100, spread 33.3 to 57.1</t>
  </si>
  <si>
    <t>DOH-BLHSD; MOH-BARMM Local Health Systems Development Division.</t>
  </si>
  <si>
    <t>EBDM capacity index 0.20 and 0.25, of 68 units assessed across four areas</t>
  </si>
  <si>
    <t>What is being measured</t>
  </si>
  <si>
    <t>Whether a facility transmitted its data to its own rural health unit or municipal office</t>
  </si>
  <si>
    <t>Whether the municipality's return reached the regional Field Health Services Information System</t>
  </si>
  <si>
    <t>Load-bearing for</t>
  </si>
  <si>
    <t>Bangsamoro Organic LawRepublic Act No. 11054, 23 Jul 2018</t>
  </si>
  <si>
    <t>The area's internal capability. The recording habit exists and is the asset to build on.</t>
  </si>
  <si>
    <t>Regional allocation, planning and national visibility. The transmission does not exist and that is what produces those effects.</t>
  </si>
  <si>
    <t>Art. V §2(bb) health; §2(rr) quarantine regulations; §2(ss) registration of births, marriages and deaths, copies to be furnished the PSA; §2(vv) social services.</t>
  </si>
  <si>
    <t>Registered-death counts indicate a CRVS gap, but regional completeness is not measured (§7.3).</t>
  </si>
  <si>
    <t>Bangsamoro Government; MOH-BARMM; the twelve municipal civil registrars.</t>
  </si>
  <si>
    <t>SOURCE  ▸  SGA · EXHIBIT 11 · §8 · p. 27</t>
  </si>
  <si>
    <t>Bangsamoro Local Governance Code of 2023Bangsamoro Autonomy Act No. 49</t>
  </si>
  <si>
    <t>§§114–117 local health boards: creation and composition, quarterly meetings, co-chairmanship by the highest MOH official where devolved health powers are not fully exercised, and ministerial assumption of control in epidemics. §512(II)(c)(8) vests provincial administrative, technical, financial and operational management of local health systems pursuant to RA 11223.</t>
  </si>
  <si>
    <t>TITLE AS PRINTED  ▸  Five divergences between the administrative record and the local record</t>
  </si>
  <si>
    <t>Local health board status documented for only three municipalities, two of them describing the board as requiring reactivation (§2.3).</t>
  </si>
  <si>
    <t>Provincial Governor as board chairperson; municipal mayors; MOH-BARMM provincial representative.</t>
  </si>
  <si>
    <t>Republic Act No. 1155027 May 2021; ratified 17 Sep 2022</t>
  </si>
  <si>
    <t>§3 enumerates the twelve constituent municipalities; §5 designates Datu Odin Sinsuat as the capital and seat of government; §9 attaches the City of Cotabato to the province’s lone legislative district for that purpose only.</t>
  </si>
  <si>
    <t>Local record</t>
  </si>
  <si>
    <t>Every provincial dataset in this evidence base carries the City of Cotabato inside the province (§4A).</t>
  </si>
  <si>
    <t>Reporting performance</t>
  </si>
  <si>
    <t>Philippine Statistics Authority; MOH-BARMM; the programme, in its own data products.</t>
  </si>
  <si>
    <t>MOH-BARMM FHSIS assessment: “No report” on submission, completeness and timeliness for both units reached; capacity index 0.20 and 0.25</t>
  </si>
  <si>
    <t>99.8% timeliness; 97.7% completeness, reported by all eight municipalities across 66 records</t>
  </si>
  <si>
    <t>Both, on different questions. The assessment for anything touching regional allocation or national visibility; the self-report for the area's internal capability, where it is a favourable finding.</t>
  </si>
  <si>
    <t>D11 — PRIORITIES AND SEQUENCING</t>
  </si>
  <si>
    <t>DOH register: 68 facilities, 9 rural health units, 2 private birthing homes, 57 barangays reached</t>
  </si>
  <si>
    <t>SOURCE  ▸  MDS · TABLE 12 · §9 · p. 31</t>
  </si>
  <si>
    <t>Municipal enumeration: 66 service points, 6 rural health units, no birthing facility, 63 barangays reached</t>
  </si>
  <si>
    <t>Neither, without inspection. The disagreement determines whether 54,691 residents have a first-referral facility and whether the area has a birthing facility at all. Task 3.</t>
  </si>
  <si>
    <t>Population and catchment</t>
  </si>
  <si>
    <t>SOURCE  ▸  BARMM · EXHIBIT 8 · §12 · p. 32</t>
  </si>
  <si>
    <t>2024 Census: 214,703</t>
  </si>
  <si>
    <t>Facility catchment claims: 294,953, an excess of 37.4 per cent</t>
  </si>
  <si>
    <t>The census. The excess sits in three rural health unit records that entered a municipality-wide catchment; removing them leaves 210,776, within 1.8 per cent of the census. The enumeration is sound and one field is not.</t>
  </si>
  <si>
    <t>Health financing</t>
  </si>
  <si>
    <t>PhilHealth: no Special Geographic Area line; 0 of BARMM's 347 accreditations in the area. DBM: the eight municipalities not named in the National Tax Allotment issuances</t>
  </si>
  <si>
    <t>Stated revenue potential ₱444,926,240</t>
  </si>
  <si>
    <t>The administrative record, decisively. The stated figure is an estimate of an entitlement that does not exist under present accreditation status. Collectible income is ₱0.</t>
  </si>
  <si>
    <t>The workforce</t>
  </si>
  <si>
    <t>2024 LGU Health Scorecard: nurse ratio 0.00, described by the source as likely non-reporting; midwife ratio 1.40</t>
  </si>
  <si>
    <t>167 cadre records resolving to 653 staff</t>
  </si>
  <si>
    <t>TITLE AS PRINTED  ▸  Sequencing: what the Ministry must settle before anything else can be sized</t>
  </si>
  <si>
    <t>Neither, without correction. Two sources, two mechanisms, one conclusion: the workforce has not been counted. A physical headcount is Task 4.</t>
  </si>
  <si>
    <t>Charter of the Provinces of Maguindanao del Norte and Maguindanao del Sur (2021)Republic Act No. 11550</t>
  </si>
  <si>
    <t>§3(b) enumerates the 24 constituent municipalities. §5 designates Buluan as capital and seat of government. §9 attaches Cotabato City to the Maguindanao del Norte legislative district. §32 makes appointment of a Provincial Health Officer mandatory, with general supervision over municipal health offices and a duty to recommend ordinances to the sanggunian through the provincial health board. §53 vests real property in the province where situated.</t>
  </si>
  <si>
    <t>§2.2 — the capital correction; §6.2 — provincial ownership of the Maguindanao Provincial Hospital; §11 — the PHO's supervisory duty over the validation programme</t>
  </si>
  <si>
    <t>Governor; Sangguniang Panlalawigan; Provincial Health Officer</t>
  </si>
  <si>
    <t>#</t>
  </si>
  <si>
    <t>§17 devolves to municipalities primary health care, maternal and child care, communicable and non-communicable disease control, and the purchase of medicines and equipment. Creation and funding of permanent health positions rests with the local chief executive and the Sanggunian.</t>
  </si>
  <si>
    <t>Action</t>
  </si>
  <si>
    <t>§§4.2, 4.3, 5.4, 7.2 — uncovered barangays, over-standard catchments, absent claims officers, temporary FHSIS posts</t>
  </si>
  <si>
    <t>What it unlocks</t>
  </si>
  <si>
    <t>Mayor and Sanggunian of each of the 24 municipalities</t>
  </si>
  <si>
    <t>Capital</t>
  </si>
  <si>
    <t>Universal Health Care Act (2019)Republic Act No. 11223</t>
  </si>
  <si>
    <t>Depends on</t>
  </si>
  <si>
    <t>§5 makes NHIP membership automatic. §17 directs DOH to endeavour to contract province-wide health systems with a primary care provider network, epidemiologic surveillance and health promotion as minimum components. §18 provides for PhilHealth contracting of health care provider networks, not stand-alone providers. §19 directs DOH, DILG, PhilHealth and the LGUs to endeavour to integrate local health systems into a province-wide system, and vests oversight of that integration in the Provincial Health Board. §§20–21 require pooling of all health resources, including PhilHealth income, in a Special Health Fund. §24 prioritizes GIDA deployment.</t>
  </si>
  <si>
    <t>§5.3 — the unmeasurable conversion; §5.4 — Special Health Fund sequencing; §6.2 — bringing private inpatient capacity into a network; §6.4 — the absent catchment map</t>
  </si>
  <si>
    <t>Settle the regimes and repair the instrument. Re-run the EBDM build against all 57 filed workbooks with the five parser rules at §10.3; close the 92 open QC flags; adopt one facility register per jurisdiction; issue the MOH-BARMM and HFEP unit-cost schedules; obtain a written determination of the Special Geographic Area’s fiscal and licensing regimes.</t>
  </si>
  <si>
    <t>Province; PhilHealth; MOH-BARMM; DOH</t>
  </si>
  <si>
    <t>All subsequent coverage rates, density figures, per-capita statistics and allocation formulas in the series depend on this step.</t>
  </si>
  <si>
    <t>Bangsamoro Organic Law (2018)Republic Act No. 11054</t>
  </si>
  <si>
    <t>Art. V, §2(bb) vests health in the Bangsamoro Government; §2(ss) vests registration of births, marriages and deaths. Art. IX, §22 requires a comprehensive and integrated health service delivery policy and establishment by law of a general hospital system. Art. VII, §27 requires the highest budgetary priority to education, health and social services.</t>
  </si>
  <si>
    <t>§7.3 — the civil-registration deficit and the legal power to correct it; §6.2 — hospital-network design</t>
  </si>
  <si>
    <t>Obtain the three datasets. PhilHealth Konsulta disaggregation on the post-2022 PSGC for 2021–2025 with a Special Geographic Area line, plus correction of the published regional table; the GIDA determination for the three jurisdictions that lack one; current DOH-HFSRB licence status for the 36 acute inpatient facilities and the null-status register records.</t>
  </si>
  <si>
    <t>The financing analysis for two provinces and an area; the isolation variable in three allocation bases; the referral-capability assessment.</t>
  </si>
  <si>
    <t>§114 constitutes the local health board in every province, city and municipality — chaired by the Governor, vice-chaired by the Provincial Health Officer, with the sanggunian health committee chair, one private-sector or NGO representative and one Ministry of Health representative; §114(a)(4) provides for co-chairmanship by the highest MOH official where devolved health powers are not fully exercised. §115–116 govern meetings and remuneration. §117 permits the Minister of Health, on the direction of the Chief Minister and in consultation with the LGU, to assume direct supervision and control of an LGU's health operations during an epidemic for a cumulative period not exceeding six months. §512(II)(c)(8) places "administrative, technical, financial, and operational management of local health systems, pursuant to R.A. No. 11223" among the provincial government's own powers.</t>
  </si>
  <si>
    <t>§5.4 — the Special Health Fund and the board-composition question; §11 — the Provincial Health Board's authority over the entire validation programme; §3.4 — §117 is the provision a repeat of the 2023–24 outbreak would engage; no invocation is on record</t>
  </si>
  <si>
    <t>DOH Administrative Order No. 2020-0043</t>
  </si>
  <si>
    <t>Publish the service-delivery networks and open the referral registers. One page per local government unit, naming the receiving facility at each level with capability and verified contact; convened through the Regional Management Council; adopted by health board resolution in each jurisdiction.</t>
  </si>
  <si>
    <t>Criteria and process for identifying Geographically Isolated and Disadvantaged Areas; the list is issued by the DOH Bureau of Local Health Systems Development.</t>
  </si>
  <si>
    <t>Referral completion measurement — the one uniformly regional gap — emergency transport planning with a destination, and obstetric and trauma pathways.</t>
  </si>
  <si>
    <t>§4.4 — the absent GIDA variable</t>
  </si>
  <si>
    <t>DOH-BLHSD; MOH-BARMM; municipal health offices</t>
  </si>
  <si>
    <t>Mandanas v. Ochoa (2018)G.R. Nos. 199802 and 208488</t>
  </si>
  <si>
    <t>LGU shares computed on all national taxes; the resulting National Tax Allotment is the standing local fund against which devolved health obligations are financed.</t>
  </si>
  <si>
    <t>Build claims capability, and accredit the network that already exists. Power backup, connectivity and one trained claims officer at each of the 64 accredited rural health units; one health financing unit per province; licensure then accreditation of the Special Geographic Area’s 6–9 rural health units and 57 stations.</t>
  </si>
  <si>
    <t>§12 — the financing route for permanent positions and station construction</t>
  </si>
  <si>
    <t>Facility income; the Special Health Fund, which cannot be capitalised at a two per cent conversion rate; on the order of ₱219 million a year currently uncollectible in the Area.</t>
  </si>
  <si>
    <t>Low; self-financing from reimbursement once operating</t>
  </si>
  <si>
    <t>1, 2</t>
  </si>
  <si>
    <t>SOURCE  ▸  SGA · TABLE 9 · §9 · p. 29</t>
  </si>
  <si>
    <t>Screen and stock for what the region reports as its killers, and fix contact quality before buying more vaccine. PhilPEN at every existing contact point with a register and a municipal target; four generic antihypertensives, one statin, metformin and salbutamol with maintained buffer stock; a missed-opportunity protocol and cold-chain establishment before any catch-up campaign.</t>
  </si>
  <si>
    <t>A measurable non-communicable disease caseload; the lowest-unit-cost clinical result available in two years.</t>
  </si>
  <si>
    <t>Low</t>
  </si>
  <si>
    <t>None — can run in parallel</t>
  </si>
  <si>
    <t>Build and staff first contact, sequenced by need and jurisdiction. Stations against the 46 corroborated barangays in Maguindanao del Norte first; the 132 uncovered barangays of Maguindanao del Sur next; Lanao del Sur’s 1,036 current unmatched barangays only after register reconciliation and field validation; registration rather than construction in the Special Geographic Area.</t>
  </si>
  <si>
    <t>The physical network. Longest lead time, highest capital cost, and the only action that cannot be corrected cheaply if it is sited wrongly.</t>
  </si>
  <si>
    <t>High</t>
  </si>
  <si>
    <t>1, 2, 3</t>
  </si>
  <si>
    <t>NATIONAL</t>
  </si>
  <si>
    <t>Repair the record. A funded, permanent FHSIS position in each of the 84 local government units; ICD coding training beyond the present eight officers; extension of iClinicSys from claims to statutory reporting; exercise of the civil-registration power; extension of the EBDM cycle to the 27 absent units.</t>
  </si>
  <si>
    <t>Every outcome measure in this report, and the denominators for all of them.</t>
  </si>
  <si>
    <t>Local Government Code (1991) | Republic Act No. 7160</t>
  </si>
  <si>
    <t>None — should run in parallel and not be deferred to the end</t>
  </si>
  <si>
    <t>§17 devolves health services to local government units; §287 constitutes the 20 per cent Development Fund on the internal revenue allotment.</t>
  </si>
  <si>
    <t>SOURCE  ▸  LDS · EXHIBIT 11 · §10 · p. 40</t>
  </si>
  <si>
    <t>Eight municipalities hold devolved health functions. The Development Fund is computed on an allotment they do not appear to receive (§5.4).</t>
  </si>
  <si>
    <t>Sangguniang Bayan of each municipality; Department of Budget and Management</t>
  </si>
  <si>
    <t>Universal Health Care Act (2019) | Republic Act No. 11223</t>
  </si>
  <si>
    <t>§5 automatic membership; §§17 and 19 provide that the entities concerned “shall endeavor to” integrate local health systems and constitute the governing board; §20 constitutes the Special Health Fund.</t>
  </si>
  <si>
    <t>TITLE AS PRINTED  ▸  Sequencing: what must be true before the next thing can work</t>
  </si>
  <si>
    <t>214,703 automatic members with no accredited facility inside the area (§5.2); no province or city to constitute a system or hold a fund (§9, obs. 1).</t>
  </si>
  <si>
    <t>PhilHealth; MOH-BARMM; the eight municipalities</t>
  </si>
  <si>
    <t>Universal Health Care Act (2019), §18</t>
  </si>
  <si>
    <t>Contracting of health care provider networks, including private providers.</t>
  </si>
  <si>
    <t>Order</t>
  </si>
  <si>
    <t>The only licensed facilities in the area are two private birthing homes; every inpatient destination is outside the area and outside the region (§6.1).</t>
  </si>
  <si>
    <t>D12 — INVESTMENT LOGIC AND VOLUMETRICS</t>
  </si>
  <si>
    <t>PhilHealth; MOH-BARMM; SGADA</t>
  </si>
  <si>
    <t>Because</t>
  </si>
  <si>
    <t>12 tables reproduced verbatim from the five diagnostics. Each block is preceded by its locator: report code, table or exhibit label, section number, subsection number and the page printed in that report's own contents list.</t>
  </si>
  <si>
    <t>Precondition it unlocks</t>
  </si>
  <si>
    <t>Mandanas v. Ochoa (2018) | G.R. Nos. 199802 &amp; 208488, 3 July 2018</t>
  </si>
  <si>
    <t>SOURCE  ▸  BARMM · EXHIBIT 9 · §13 · p. 33</t>
  </si>
  <si>
    <t>Enlarges the base of the just share of local government units in national taxes, implemented from FY2022.</t>
  </si>
  <si>
    <t>Does not reach these municipalities if the assessment at §5.4 holds, because it enlarges a share they do not receive.</t>
  </si>
  <si>
    <t>Fix the datasets. One adopted facility register; validated target populations for immunization; municipal population and barangay lists reconciled to the 2024 Census.</t>
  </si>
  <si>
    <t>Department of Budget and Management; Bangsamoro Treasury</t>
  </si>
  <si>
    <t>Four facility counts are in circulation; six municipalities report immunizing more children than exist. Every coverage figure, allocation and procurement quantity depends on these two numbers.</t>
  </si>
  <si>
    <t>Civil Registry Law and the civil registration function</t>
  </si>
  <si>
    <t>Everything. No later action can be sized, targeted or evaluated without this.</t>
  </si>
  <si>
    <t>TITLE AS PRINTED  ▸  Regional volumetrics for the two-year programme</t>
  </si>
  <si>
    <t>Registration of births, marriages and deaths.</t>
  </si>
  <si>
    <t>No civil registration figures exist for the area and it is not established which registrar holds its records (§7.3).</t>
  </si>
  <si>
    <t>Philippine Statistics Authority; the eight Local Civil Registrars</t>
  </si>
  <si>
    <t>Publish the service-delivery network. A written document naming, for every municipality, the receiving facility for each level of referral, its capability, and a contact.</t>
  </si>
  <si>
    <t>Facility licensure</t>
  </si>
  <si>
    <t>Quantity</t>
  </si>
  <si>
    <t>No such document exists. Referral completion is unmeasured in every unit. Costs nothing and requires no new law.</t>
  </si>
  <si>
    <t>Licensing of health facilities, including primary care facilities, and the standards to which they are licensed.</t>
  </si>
  <si>
    <t>Volumetric</t>
  </si>
  <si>
    <t>Zero of 66 facilities licensed or accredited; the applicable regime in a devolved region is unresolved (§5.2).</t>
  </si>
  <si>
    <t>Referral measurement; emergency transport planning; trauma and obstetric pathways.</t>
  </si>
  <si>
    <t>DOH-HFSRB; MOH-BARMM</t>
  </si>
  <si>
    <t>BANGSAMORO</t>
  </si>
  <si>
    <t>Build claims capability at the facilities already accredited. Power, connectivity, one trained claims officer per accredited unit, a provincial health financing unit.</t>
  </si>
  <si>
    <t>Barangays with no registered first-contact facility</t>
  </si>
  <si>
    <t>The province leads BARMM on accredited rural health units and Konsulta providers and converts 2.1 percent of registrations. The more immediate constraint lies in claims generation.</t>
  </si>
  <si>
    <t>1,220 of 1,735 on current geography, using the same 515 listed first-contact records</t>
  </si>
  <si>
    <t>Bangsamoro Organic Law (2018) | Republic Act No. 11054</t>
  </si>
  <si>
    <t>Special Health Fund capitalization; facility-retained revenue; the financing case for permanent positions.</t>
  </si>
  <si>
    <t>Art. III, §2 constitutes the territory and the mechanism by which the 63 barangays were admitted; Art. V, §2(ss) vests civil registration in the Bangsamoro Government.</t>
  </si>
  <si>
    <t>Four non-identical definitions (Exhibit 2). Only the Maguindanao del Norte component — 46 barangays — rests on two agreeing instruments.</t>
  </si>
  <si>
    <t>The area exists as a jurisdiction because of Art. III. The denominator problem at §7.3 is soluble within Art. V without national action.</t>
  </si>
  <si>
    <t>common NCD risks</t>
  </si>
  <si>
    <t>Bangsamoro Government; Office of the Chief Minister</t>
  </si>
  <si>
    <t>Rural health units short of the 1:20,000 target</t>
  </si>
  <si>
    <t>Bangsamoro Autonomy Acts Nos. 41–48 (2023)</t>
  </si>
  <si>
    <t>No verified province cause ranking is available; the unweighted municipal PhilPEN mean is 4.3 per cent and thiazide availability across BARMM RHUs was 4.1 per cent.</t>
  </si>
  <si>
    <t>Create the eight municipalities; provide monthly financial assistance from the Bangsamoro Government “until they receive their share in the National Tax Allotment.”</t>
  </si>
  <si>
    <t>A measurable NCD screening and medicines pathway while the province establishes its burden profile</t>
  </si>
  <si>
    <t>Register basis; 71 on the Special Geographic Area’s operating basis. The standard itself requires settlement (§5.2).</t>
  </si>
  <si>
    <t>The financing clause is conditional on an event that may not occur (§5.4, §9 obs. 2). Every recurrent cost in §12 depends on which regime applies.</t>
  </si>
  <si>
    <t>Bangsamoro Parliament; Bangsamoro Treasury; Department of Budget and Management</t>
  </si>
  <si>
    <t>Service locations of unknown cold-chain status</t>
  </si>
  <si>
    <t>Restore immunization and close the water gap. Catch-up immunization against a corrected denominator; cold chain with solar backup; sanitation in the municipalities that name water as their first problem.</t>
  </si>
  <si>
    <t>Bangsamoro Local Governance Code (2023) | Bangsamoro Autonomy Act No. 49</t>
  </si>
  <si>
    <t>353 of 836</t>
  </si>
  <si>
    <t>2025 BARMM coverage remains low at 22.1 per cent basic-antigen and 13.0 per cent full national schedule; 17.8 per cent open defecation is the 2022 historical estimate; 13 measles deaths occurred in this province in 2024</t>
  </si>
  <si>
    <t>Physical verification is a numbered validation task in three volumes. No procurement quantity is derivable from the field as it stands.</t>
  </si>
  <si>
    <t>Adults never screened under PhilPEN</t>
  </si>
  <si>
    <t>Child survival. Requires action 1 to have been completed first — this is the lesson of 2023.</t>
  </si>
  <si>
    <t>§§114–117 constitute local health boards; §512(II)(c)(8) is the regional authority relied on for a Special Health Fund.</t>
  </si>
  <si>
    <t>≈96% of adults 20+</t>
  </si>
  <si>
    <t>The Code's provincial health board has no addressee in an area with no province (§9, obs. 1). Municipal health boards are recorded as an establishment task by several municipalities and their status is not reported.</t>
  </si>
  <si>
    <t>Measured in three jurisdictions; not measured in the Special Geographic Area. The Maguindanao del Norte absolute figure of ≈398,000 rests on an unvalidated adult denominator.</t>
  </si>
  <si>
    <t>Office of the Chief Minister; Bangsamoro Attorney General; MILG-BARMM</t>
  </si>
  <si>
    <t>Build and staff first contact. Barangay stations and rural health units sequenced by unserved population and isolation; permanent plantilla positions funded against each municipality’s own figure.</t>
  </si>
  <si>
    <t>Tuberculosis cases a year not notified</t>
  </si>
  <si>
    <t>Bangsamoro Autonomy Act No. 58</t>
  </si>
  <si>
    <t>≈13,000–14,000</t>
  </si>
  <si>
    <t>1,036 of 1,164 current barangays have no matched registered station; 31 of 40 LGUs exceed the planning assumption; 45 additional primary-care facilities were identified in national planning</t>
  </si>
  <si>
    <t>Creates the parliamentary districts of the region; the Special Geographic Area holds one district seat.</t>
  </si>
  <si>
    <t>Order of magnitude only; the WHO uncertainty interval spans a factor of three. Not a procurement quantity.</t>
  </si>
  <si>
    <t>The permanent solution. Longest lead time, highest capital cost, and dependent on actions 1 and 3 for siting and for recurrent financing.</t>
  </si>
  <si>
    <t>Area-level representation exists in the Parliament even though no area-level executive government does. It is the available channel for the fiscal determination at Task 1.</t>
  </si>
  <si>
    <t>Local government units with no hospital of any level</t>
  </si>
  <si>
    <t>Bangsamoro Parliament; the area's Member of Parliament</t>
  </si>
  <si>
    <t>68 of 84</t>
  </si>
  <si>
    <t>Thirty of the 44 units in the three jurisdictions reporting on a common basis hold neither a hospital nor an infirmary — 932,340 residents.</t>
  </si>
  <si>
    <t>Repair the record. Permanent funded FHSIS positions; civil registration under the region’s own devolved authority; extension of the EBDM cycle to the 24 absent LGUs.</t>
  </si>
  <si>
    <t>Beds outside Bangsamoro control in one province</t>
  </si>
  <si>
    <t>death-registration completeness is not measured; the registered series requires reconciliation with facility and community death records</t>
  </si>
  <si>
    <t>335 of 360</t>
  </si>
  <si>
    <t>The ability to know whether any of actions 1 to 6 worked. Runs in parallel with all of them and must not be deferred to the end.</t>
  </si>
  <si>
    <t>DOH-retained, DND and national-government sub-classification. The instrument is a written access arrangement, not capital.</t>
  </si>
  <si>
    <t>Service locations requiring licensure and accreditation</t>
  </si>
  <si>
    <t>The entire Special Geographic Area network. The census-based ₱218,997,060 is a gross worksheet scenario, not a revenue forecast or collectible amount; current YAKAP and payment status require official verification.</t>
  </si>
  <si>
    <t>SOURCE  ▸  LDS · TABLE 9 · §11 · p. 42</t>
  </si>
  <si>
    <t>Accredited rural health units requiring claims capability</t>
  </si>
  <si>
    <t>One trained claims officer, power backup and connectivity each. Self-financing from reimbursement once operating. One province records 13 accredited units against 12 registered — a discrepancy of record.</t>
  </si>
  <si>
    <t>Local government units requiring a named receiving facility</t>
  </si>
  <si>
    <t>84 of 84</t>
  </si>
  <si>
    <t>TITLE AS PRINTED  ▸  The validation program</t>
  </si>
  <si>
    <t>No published catchment map exists in any jurisdiction. No capital cost; the deliverable is publication.</t>
  </si>
  <si>
    <t>Local government units requiring a funded FHSIS position</t>
  </si>
  <si>
    <t>Plus ICD coding capability beyond the present eight officers across four jurisdictions.</t>
  </si>
  <si>
    <t>Local government units outside the EBDM cycle</t>
  </si>
  <si>
    <t>27 — 745,238 residents, 654 barangays</t>
  </si>
  <si>
    <t>24 in Lanao del Sur and three in Maguindanao del Sur. The three non-filers in Maguindanao del Sur are not marginal: one holds the province’s largest registered network and another a municipal hospital.</t>
  </si>
  <si>
    <t>Open QC flags across the four packages</t>
  </si>
  <si>
    <t>Formulate and distribute the service-delivery network profile</t>
  </si>
  <si>
    <t>27, 29, 25 and 11. Two Lanao del Sur workbooks were never ingested and their workforce and accreditation sheets remain unread.</t>
  </si>
  <si>
    <t>Map out specific receiving facilities for primary, first-referral, and definitive care across all 40 LGUs. Document each facility's capabilities (obstetric, surgical, trauma, mental health, dialysis), alongside verified and active telephone contacts. Formally institutionalize this map via a Provincial Health Board resolution.</t>
  </si>
  <si>
    <t>SOURCE  ▸  BARMM · TABLE 11 · §13 · p. 33</t>
  </si>
  <si>
    <t>Provincial Health Board; hospital chiefs</t>
  </si>
  <si>
    <t>0–60</t>
  </si>
  <si>
    <t>TITLE AS PRINTED  ▸  The two-year programme: volumetrics, sequencing and financing route</t>
  </si>
  <si>
    <t>Appraise healthcare receiving capacity beyond Marawi City</t>
  </si>
  <si>
    <t>Evaluate the 5 government hospitals outside Marawi (Wao, Tamparan, Malabang, Binidayan, and Balindong) against trauma, basic surgical, and comprehensive emergency obstetric and newborn care criteria. Confirm the current licensing status for both the Malabang hospital and Amai Pakpak Medical Center, as existing registries flag their status as expired.</t>
  </si>
  <si>
    <t>Component</t>
  </si>
  <si>
    <t>IPHO; MOH-BARMM; DOH-HFSRB</t>
  </si>
  <si>
    <t>Financing route</t>
  </si>
  <si>
    <t>15–75</t>
  </si>
  <si>
    <t>Timing</t>
  </si>
  <si>
    <t>Evidence repair and register adoption</t>
  </si>
  <si>
    <t>Create a tracking system for referrals</t>
  </si>
  <si>
    <t>One corrected build on 57 workbooks; 92 QC flags closed; four adopted registers</t>
  </si>
  <si>
    <t>MOH-BARMM programme funds; BRIGHT-BARMM technical assistance</t>
  </si>
  <si>
    <t>Y1 Q1</t>
  </si>
  <si>
    <t>Deploy a uniform referral template complete with a confirmation slip. Request a monthly accounting of initiated, arrived, and closed patient referrals from each municipality. Because none of the 17 active reporting units currently submit this information, the baseline objective is simply to establish data availability.</t>
  </si>
  <si>
    <t>IPHO; all municipal health offices</t>
  </si>
  <si>
    <t>Unit-cost schedule issuance</t>
  </si>
  <si>
    <t>One issuance</t>
  </si>
  <si>
    <t>30–90</t>
  </si>
  <si>
    <t>No cost</t>
  </si>
  <si>
    <t>The three data requests, and the two written determinations</t>
  </si>
  <si>
    <t>Broaden data collection to include the 24 non-participating LGUs</t>
  </si>
  <si>
    <t>PhilHealth disaggregation and table correction; GIDA for three jurisdictions; HFSRB licence status; SGA fiscal and licensing regimes</t>
  </si>
  <si>
    <t>Roll out the EBDM diagnostic worksheet exercises across the remaining municipalities. This expansion covers a population of 631,803 residents, 608 barangays, and 204 out of the province's 305 remote settlements. Operational priority must be assigned to the eight LGUs possessing two or fewer registered healthcare units.</t>
  </si>
  <si>
    <t>Y1 Q1–Q2</t>
  </si>
  <si>
    <t>IPHO with IOM/BRIGHT-BARMM</t>
  </si>
  <si>
    <t>Service-delivery networks and referral registers</t>
  </si>
  <si>
    <t>84 published pages; four health board resolutions; one register per rural health unit</t>
  </si>
  <si>
    <t>IPHO and municipal operating budgets; no capital cost</t>
  </si>
  <si>
    <t>Retrieve unparsed information files and resolve outstanding QC logs</t>
  </si>
  <si>
    <t>Claims capability at the accredited base</t>
  </si>
  <si>
    <t>Manually process workforce inventory and accreditation metrics from the two unparsed workbooks in the 20260629 release, addressing areas where baseline provincial documentation remains weakest. Rectify the 27 outstanding quality control flags, focusing first on the fill-down accreditation anomalies and the workforce data entry error that substituted headcounts with ratio metrics.</t>
  </si>
  <si>
    <t>64 accredited rural health units equipped; three provincial health financing units</t>
  </si>
  <si>
    <t>IOM data team with IPHO</t>
  </si>
  <si>
    <t>PhilHealth reimbursement (self-financing once operating); LGU plantilla; National Tax Allotment</t>
  </si>
  <si>
    <t>Y1</t>
  </si>
  <si>
    <t>0–30</t>
  </si>
  <si>
    <t>Licensure and accreditation of the Special Geographic Area network</t>
  </si>
  <si>
    <t>6–9 rural health units; 57 stations; Konsulta accreditation for each</t>
  </si>
  <si>
    <t>SOURCE  ▸  MDN · EXHIBIT 12 · §10 · p. 34</t>
  </si>
  <si>
    <t>MOH-BARMM programme funds; municipal budget; SGADA; self-financing from reimbursement once achieved</t>
  </si>
  <si>
    <t>Non-communicable disease response</t>
  </si>
  <si>
    <t>PhilPEN protocol at 80 rural health units across three provinces; four antihypertensives, one statin, metformin and salbutamol with buffer stock</t>
  </si>
  <si>
    <t>LGU medicines budget; MOH-BARMM supply chain; PhilHealth Konsulta drug benefit</t>
  </si>
  <si>
    <t>Y1–Y2</t>
  </si>
  <si>
    <t>Immunisation: contact quality, then cold chain, then catch-up</t>
  </si>
  <si>
    <t>Missed-opportunity protocol at every unit; cold-chain equipment and temperature monitoring at every immunising facility; catch-up against corrected denominators</t>
  </si>
  <si>
    <t>MOH-BARMM EPI; UNICEF; LGU 20% Development Fund</t>
  </si>
  <si>
    <t>D13 — MONITORING INDICATORS</t>
  </si>
  <si>
    <t>3 tables reproduced verbatim from the five diagnostics. Each block is preceded by its locator: report code, table or exhibit label, section number, subsection number and the page printed in that report's own contents list.</t>
  </si>
  <si>
    <t>First-contact construction and staffing</t>
  </si>
  <si>
    <t>SOURCE  ▸  BARMM · TABLE 12 · §14 · p. 35</t>
  </si>
  <si>
    <t>46 corroborated stations first; 132 in Maguindanao del Sur; 1,036 current unmatched barangays in Lanao del Sur only after reconciliation; second rural health units in the units above 39,000</t>
  </si>
  <si>
    <t>HFEP; National Tax Allotment; LGU capital outlay; BAA No. 49 §20 augmentation; Special Development Fund</t>
  </si>
  <si>
    <t>Adopt a single provincial facility register on the twelve-municipality geography, with the City of Cotabato reported separately.</t>
  </si>
  <si>
    <t>Y1–Y2 and beyond</t>
  </si>
  <si>
    <t>Three counts on two geographies are in circulation. Every provincial average in the source data describes a system the province does not operate.</t>
  </si>
  <si>
    <t>The record</t>
  </si>
  <si>
    <t>Every subsequent coverage, density and per-capita figure in this report, and any allocation formula built on them.</t>
  </si>
  <si>
    <t>84 funded FHSIS positions; ICD training; iClinicSys extended from claims to statutory reporting at 51 installations; civil registration through the barangay workforce</t>
  </si>
  <si>
    <t>TITLE AS PRINTED  ▸  Regional monitoring indicators</t>
  </si>
  <si>
    <t>LGU plantilla under RA 7160; MOH-BARMM; Bangsamoro Government under RA 11054 Art. V §2(ss)</t>
  </si>
  <si>
    <t>Request PhilHealth disaggregation of Konsulta registrations, first patient encounters and payments by the post-2022 boundary.</t>
  </si>
  <si>
    <t>The province has a measured denominator and no measured numerator. It cannot identify which of its 19 Konsulta providers is converting.</t>
  </si>
  <si>
    <t>Extension of the EBDM cycle</t>
  </si>
  <si>
    <t>Targeted claims support; a defensible Special Health Fund projection; any financing indicator in the monitoring framework.</t>
  </si>
  <si>
    <t>27 local government units; 745,238 residents; 654 barangays</t>
  </si>
  <si>
    <t>MOH-BARMM with IOM/BRIGHT-BARMM</t>
  </si>
  <si>
    <t>Baseline, 2026</t>
  </si>
  <si>
    <t>Execute a PhilPEN screening protocol at existing contact points, with a register and a municipal target.</t>
  </si>
  <si>
    <t>Target</t>
  </si>
  <si>
    <t>SOURCE  ▸  LDS · EXHIBIT 12 · §12 · §12.1 · p. 43</t>
  </si>
  <si>
    <t>The equipment is already installed in the great majority of units. Screening covers 2.47 per cent of adults against a leading cause of death.</t>
  </si>
  <si>
    <t>Source and frequency</t>
  </si>
  <si>
    <t>A measurable non-communicable disease caseload, and the demand that justifies a maintained medicines buffer.</t>
  </si>
  <si>
    <t>One</t>
  </si>
  <si>
    <t>Adults aged 20+ risk-assessed under PhilPEN</t>
  </si>
  <si>
    <t>2.47 – 4.34% in three jurisdictions; not measured in the fourth</t>
  </si>
  <si>
    <t>TITLE AS PRINTED  ▸  Volumetrics for the two-year program</t>
  </si>
  <si>
    <t>Publish a service-delivery network document naming, for each municipality, the receiving facility, its capability and a contact point; and minute access arrangements with DOH and DND.</t>
  </si>
  <si>
    <t>25% in all four</t>
  </si>
  <si>
    <t>LGU Health Scorecard; jurisdiction PhilPEN register. Quarterly</t>
  </si>
  <si>
    <t>No such document exists, and 335 of 360 beds sit outside direct Bangsamoro control under no written arrangement with the province.</t>
  </si>
  <si>
    <t>Referral completion measurement; ambulance and transport investment that has a destination; obstetric and trauma pathways.</t>
  </si>
  <si>
    <t>Tuberculosis detection ratio against expected incidence</t>
  </si>
  <si>
    <t>1,036 current barangays without a matched registered station</t>
  </si>
  <si>
    <t>≈26–28% derived in three jurisdictions; not measured in the fourth</t>
  </si>
  <si>
    <t>24rural health units short of the1:20,000 standard</t>
  </si>
  <si>
    <t>Establish the cold-chain and equipment condition of the 151 service locations for which it is unreported.</t>
  </si>
  <si>
    <t>DOH NTP / ITIS extract via MOH-BARMM. Annual</t>
  </si>
  <si>
    <t>Roughly three service locations in four carry no recorded status, and the intermediate category was never once used. That is an instrument failure, not a finding, and no capital should be allocated against it.</t>
  </si>
  <si>
    <t>45primary care facilities identifiedin national planning to 2025</t>
  </si>
  <si>
    <t>Two</t>
  </si>
  <si>
    <t>Cold-chain and equipment procurement; the immunization component of the two-year programme.</t>
  </si>
  <si>
    <t>SOURCE  ▸  LDS · (unlabelled) · §12 · §12.1 · p. 43</t>
  </si>
  <si>
    <t>≥ 750 of 1,735</t>
  </si>
  <si>
    <t>Construct barangay health stations in the 46 identified barangays, beginning with the five-municipality first tranche set out in Section 12.3.</t>
  </si>
  <si>
    <t>DOH/HFSRB register, on a single adopted definition. Semi-annual</t>
  </si>
  <si>
    <t>Two independent instruments agree on where the gaps are. This is the one capital recommendation resting on corroborated evidence.</t>
  </si>
  <si>
    <t>TITLE AS PRINTED  ▸  | 305geographically isolatedbarangays |</t>
  </si>
  <si>
    <t>First-contact coverage; the enforceability of Upi’s and Talitay’s home-delivery ordinances; outreach immunization.</t>
  </si>
  <si>
    <t>Service locations of known cold-chain status</t>
  </si>
  <si>
    <t>483 of 836 (57.8%)</t>
  </si>
  <si>
    <t>Fund the FHSIS apparatus by ordinance and plantilla item, and exercise the civil-registration power under RA 11054 Art. V §2(ss).</t>
  </si>
  <si>
    <t>Physical verification under the validation programmes, then annual re-survey</t>
  </si>
  <si>
    <t>~6,400tuberculosis cases a yearnot notified (order of magnitude)</t>
  </si>
  <si>
    <t>not measured; registered counts require reconciliation with facility and community death records</t>
  </si>
  <si>
    <t>Every outcome measure against which any of the preceding six would be evaluated.</t>
  </si>
  <si>
    <t>95.7%of adults never screenedunder PhilPEN</t>
  </si>
  <si>
    <t>89 of 157</t>
  </si>
  <si>
    <t>≥ 110 of 157</t>
  </si>
  <si>
    <t>28accredited RHUs needingclaims capability</t>
  </si>
  <si>
    <t>Register, once the governing standard is settled. Annual</t>
  </si>
  <si>
    <t>SOURCE  ▸  MDN · TABLE 10 · §11 · p. 35</t>
  </si>
  <si>
    <t>SOURCE  ▸  LDS · TABLE 10 · §12 · §12.2 · p. 43</t>
  </si>
  <si>
    <t>Three</t>
  </si>
  <si>
    <t>Jurisdictions with a disaggregated Konsulta return</t>
  </si>
  <si>
    <t>0 of 4</t>
  </si>
  <si>
    <t>4 of 4</t>
  </si>
  <si>
    <t>PhilHealth Corporate Planning. Quarterly once obtained</t>
  </si>
  <si>
    <t>TITLE AS PRINTED  ▸  Two-year program: volumetrics, sequencing and financing route</t>
  </si>
  <si>
    <t>Konsulta first patient encounters ÷ registrations</t>
  </si>
  <si>
    <t>TITLE AS PRINTED  ▸  The ninety-day validation program</t>
  </si>
  <si>
    <t>2.1% where computable; not reported for three of four</t>
  </si>
  <si>
    <t>≥ 15% in all four</t>
  </si>
  <si>
    <t>PhilHealth. Quarterly</t>
  </si>
  <si>
    <t>Special Geographic Area facilities holding an accreditation</t>
  </si>
  <si>
    <t>0 of 66</t>
  </si>
  <si>
    <t>Quantity to be delivered</t>
  </si>
  <si>
    <t>≥ 6 rural health units in Year 1</t>
  </si>
  <si>
    <t>Targeting basis</t>
  </si>
  <si>
    <t>Task</t>
  </si>
  <si>
    <t>PhilHealth accreditation roster. Quarterly</t>
  </si>
  <si>
    <t>What it involves</t>
  </si>
  <si>
    <t>Four</t>
  </si>
  <si>
    <t>Period</t>
  </si>
  <si>
    <t>Who</t>
  </si>
  <si>
    <t>Local government units with a published receiving facility</t>
  </si>
  <si>
    <t>0 of 84</t>
  </si>
  <si>
    <t>Days</t>
  </si>
  <si>
    <t>Denominator and register repair</t>
  </si>
  <si>
    <t>One adopted facility register; one provincial denominator table; 27 QC flags closed; 2 source sheets recovered</t>
  </si>
  <si>
    <t>Regional Management Council; health board resolutions. Semi-annual</t>
  </si>
  <si>
    <t>Province-wide</t>
  </si>
  <si>
    <t>Adopt one provincial facility register</t>
  </si>
  <si>
    <t>MOH-BARMM program funds; BRIGHT-BARMM technical assistance</t>
  </si>
  <si>
    <t>Referral completion rate (confirmed arrival ÷ initiated)</t>
  </si>
  <si>
    <t>Reconcile the 224 registry records against the 207 worksheet service locations for the twelve municipalities. Resolve the eleven rural health unit birthing annexes typed as independent facilities, the six same-barangay station pairs across the full 303-record extract, and the Awang duplicate. Report the City of Cotabato separately.</t>
  </si>
  <si>
    <t>No observations region-wide</t>
  </si>
  <si>
    <t>Measured in all 84 units</t>
  </si>
  <si>
    <t>IPHO with MOH-BARMM and DOH-HFSRB</t>
  </si>
  <si>
    <t>Service-delivery network</t>
  </si>
  <si>
    <t>Referral register at each rural health unit. Quarterly</t>
  </si>
  <si>
    <t>0–45</t>
  </si>
  <si>
    <t>One published network document covering 40 LGUs and 6 government hospitals; Provincial Health Board resolution</t>
  </si>
  <si>
    <t>Beds under a written access arrangement, Maguindanao del Norte</t>
  </si>
  <si>
    <t>No capital cost; IPHO operating budget</t>
  </si>
  <si>
    <t>0 of 335</t>
  </si>
  <si>
    <t>Obtain the PhilHealth split</t>
  </si>
  <si>
    <t>335 of 335</t>
  </si>
  <si>
    <t>Formal request to the PhilHealth Regional Office for Konsulta registrations, first patient encounters, statements of account generated and paid, disaggregated for Maguindanao del Norte and Maguindanao del Sur from the September 2022 ratification.</t>
  </si>
  <si>
    <t>3a</t>
  </si>
  <si>
    <t>Provincial Health Board minutes; DOH and DND. Annual</t>
  </si>
  <si>
    <t>Claims capability at accredited units</t>
  </si>
  <si>
    <t>Provincial Governor to PhilHealth Regional Vice-President</t>
  </si>
  <si>
    <t>Five</t>
  </si>
  <si>
    <t>Units at full on-time FHSIS reporting</t>
  </si>
  <si>
    <t>28 accredited rural health units equipped: power backup, connectivity, one trained claims officer each; one provincial health financing unit with medical technologist, pharmacist and administrative aide</t>
  </si>
  <si>
    <t>21 of 68 assessed (30.9%)</t>
  </si>
  <si>
    <t>The accredited base; the 12 units the IPHO names as lacking maternity-care or TB-DOTS accreditation take priority for package extension</t>
  </si>
  <si>
    <t>≥ 54 of 68</t>
  </si>
  <si>
    <t>Establish cold-chain and equipment condition</t>
  </si>
  <si>
    <t>MOH-BARMM FHSIS assessment, re-fielded on a repaired instrument. Annual</t>
  </si>
  <si>
    <t>3b</t>
  </si>
  <si>
    <t>Physical verification of the 151 service locations with no recorded cold-chain status and of every location whose equipment readiness was returned on a non-numeric scale. One standard instrument, one scale, one enumerator per municipality.</t>
  </si>
  <si>
    <t>Officers trained in ICD-10/11 coding</t>
  </si>
  <si>
    <t>Accreditation completion where it is the precondition</t>
  </si>
  <si>
    <t>8 across four jurisdictions</t>
  </si>
  <si>
    <t>Municipal health officers, IPHO supervision</t>
  </si>
  <si>
    <t>Five Marawi City rural health units brought to accreditation, then equipped as at 3a</t>
  </si>
  <si>
    <t>≥ 1 per local government unit</t>
  </si>
  <si>
    <t>The only large unaccredited block in the province; Marawi City reports lost reimbursement on this account</t>
  </si>
  <si>
    <t>MOH-BARMM Health Information Management. Annual</t>
  </si>
  <si>
    <t>LGU; MOH-BARMM; PhilHealth</t>
  </si>
  <si>
    <t>Death-registration completeness</t>
  </si>
  <si>
    <t>Minute referral and access arrangements</t>
  </si>
  <si>
    <t>Not measured; registered counts indicate a material gap</t>
  </si>
  <si>
    <t>Baseline established in three municipalities per jurisdiction, then region-wide</t>
  </si>
  <si>
    <t>Written arrangements with the Department of Health for the Cotabato Sanitarium and the Cotabato Regional and Medical Center, with the Department of National Defense for Camp Siongco and Camp Pendatun, and with the two district hospitals at Dalican and Nuro: admission pathway, contact point, reporting line for referral completion. Confirm the ownership classification of the district hospitals in the same exercise.</t>
  </si>
  <si>
    <t>PhilPEN screening protocol at every contact point; provincial procurement list carrying four generic antihypertensives, one statin, metformin and salbutamol with a maintained buffer stock</t>
  </si>
  <si>
    <t>Local civil registrars against facility death records. Annual</t>
  </si>
  <si>
    <t>Provincial Health Board resolution</t>
  </si>
  <si>
    <t>All 40 LGUs; the 14 municipalities reporting under 1 percent screening first</t>
  </si>
  <si>
    <t>SOURCE  ▸  MDN · TABLE 12 · §13 · p. 38</t>
  </si>
  <si>
    <t>Draft and publish the service-delivery network</t>
  </si>
  <si>
    <t>One page per municipality naming the receiving facility for obstetric, medical, surgical and paediatric referral, its capability level, its contact number and the transport route. Publication, not procurement, is the deliverable.</t>
  </si>
  <si>
    <t>TITLE AS PRINTED  ▸  Provincial monitoring indicators</t>
  </si>
  <si>
    <t>Immunization and cold chain</t>
  </si>
  <si>
    <t>IPHO with the twelve municipal health officers</t>
  </si>
  <si>
    <t>Catch-up immunization against the corrected denominator in all 40 LGUs; solar refrigeration and temperature monitoring at every immunizing facility; cold-chain manager designated per municipality</t>
  </si>
  <si>
    <t>The 2023–2024 outbreak footprint; municipalities reporting cold chain in the RHU only</t>
  </si>
  <si>
    <t>MOH-BARMM EPI; UNICEF; LGU; 20 percent Development Fund</t>
  </si>
  <si>
    <t>Definition</t>
  </si>
  <si>
    <t>Correct the consolidated evidence product</t>
  </si>
  <si>
    <t>Baseline</t>
  </si>
  <si>
    <t>Re-ingest Buldon and Northern Kabuntalan; re-label Kabuntalan’s seventeen records; restore Sultan Kudarat’s own improvement plan; remove Datu Paglas; re-parse equipment readiness, referral turnaround and revenue. Close the twenty-nine open quality-control flags.</t>
  </si>
  <si>
    <t>Two-year target</t>
  </si>
  <si>
    <t>Water and sanitation in named municipalities</t>
  </si>
  <si>
    <t>BRIGHT-BARMM EBDM team</t>
  </si>
  <si>
    <t>Level III water systems and sanitation in the municipalities that name water as their first-order problem — Tamparan, Ditsaan-Ramain and the municipalities reporting waterborne disease</t>
  </si>
  <si>
    <t>Stage One — the illness</t>
  </si>
  <si>
    <t>LGU-named priority; open-defecation prevalence</t>
  </si>
  <si>
    <t>20 percent Development Fund; LGSF-BARMM; LGSF-DBM; LWUA; MinDA</t>
  </si>
  <si>
    <t>Establish a civil-registration baseline</t>
  </si>
  <si>
    <t>Reconcile facility death records against local civil registry entries for one recent twelve-month period in three municipalities of differing size, to establish a provincial completeness estimate and a reporting line.</t>
  </si>
  <si>
    <t>First-contact construction and staffing, sequenced by the access tiers</t>
  </si>
  <si>
    <t>Adults 20+ risk-assessed ÷ adults 20+</t>
  </si>
  <si>
    <t>IPHO with the municipal civil registrars</t>
  </si>
  <si>
    <t>Barangay health stations sequenced against 1,036 current barangays without a matched registered station, beginning with the 11 municipalities with none and the 8 with two facilities or fewer; rural health units against the 24-unit shortfall; permanent plantilla positions funded against each municipality’s own figure</t>
  </si>
  <si>
    <t>The four access tiers: 16 Tier 1 municipalities (physical access), 8 Tier 2 (readiness), 16 Tier 3 (verification). Field validation and interim outreach precede capital in every case</t>
  </si>
  <si>
    <t>Health Facility Enhancement Program; National Tax Allotment; LGU capital outlay; BAA 49 s.20 provincial augmentation</t>
  </si>
  <si>
    <t>LGU Health Scorecard / provincial PhilPEN register; quarterly</t>
  </si>
  <si>
    <t>Permanent funded FHSIS position in each of the 40 LGUs; civil-registration program delivered through the barangay workforce; EBDM cycle extended to the 24 absent LGUs</t>
  </si>
  <si>
    <t>SOURCE  ▸  MDS · EXHIBIT 7 · §10 · p. 33</t>
  </si>
  <si>
    <t>Hypertensives detected who receive medicines</t>
  </si>
  <si>
    <t>All 40 LGUs; the 13 reporting no FHSIS unit first</t>
  </si>
  <si>
    <t>Adults given antihypertensives ÷ adults identified hypertensive</t>
  </si>
  <si>
    <t>LGU plantilla (RA 7160); MOH-BARMM; Bangsamoro Government under RA 11054 Art. V s.2(ss)</t>
  </si>
  <si>
    <t>Not measured province-wide (Matanog 91%)</t>
  </si>
  <si>
    <t>≥90% in all twelve</t>
  </si>
  <si>
    <t>Provincial NCD register; quarterly</t>
  </si>
  <si>
    <t>SOURCE  ▸  MDN · EXHIBIT 13 · §12 · §12.1 · p. 36</t>
  </si>
  <si>
    <t>Tuberculosis detection ratio</t>
  </si>
  <si>
    <t>Notified cases ÷ expected cases at WHO incidence</t>
  </si>
  <si>
    <t>TITLE AS PRINTED  ▸  Sequencing: what should be in place before the next action can work</t>
  </si>
  <si>
    <t>D14 — ANNEXES, MASTER TABLES AND GAP REGISTERS</t>
  </si>
  <si>
    <t>NTP notification against PSA population; annually</t>
  </si>
  <si>
    <t>16 tables reproduced verbatim from the five diagnostics. Each block is preceded by its locator: report code, table or exhibit label, section number, subsection number and the page printed in that report's own contents list.</t>
  </si>
  <si>
    <t>Stage Two — first contact</t>
  </si>
  <si>
    <t>46barangays requiring ahealth station</t>
  </si>
  <si>
    <t>SOURCE  ▸  BARMM · ANNEX A · §A · p. 28</t>
  </si>
  <si>
    <t>25rural health units shortof the 1:20,000 standard</t>
  </si>
  <si>
    <t>151service locations ofunknown cold-chain status</t>
  </si>
  <si>
    <t>~398,000adults never screenedunder PhilPEN</t>
  </si>
  <si>
    <t>Barangays with a registered health station</t>
  </si>
  <si>
    <t>~3,300tuberculosis cases a yearnot notified (order of magnitude)</t>
  </si>
  <si>
    <t>Barangays with ≥1 registered station ÷ barangays</t>
  </si>
  <si>
    <t>175 of 221 (79.2%)</t>
  </si>
  <si>
    <t>8municipalities with noinpatient bed of any class</t>
  </si>
  <si>
    <t>≥200 of 221</t>
  </si>
  <si>
    <t>10municipalities with nodiagnostic facility</t>
  </si>
  <si>
    <t>Adopted provincial facility register; semi-annually</t>
  </si>
  <si>
    <t>Reconcile the datasets. Obtain the PhilHealth disaggregation; re-run the provincial evidence product against the 21 municipal workbooks; restore the capital to the join; resolve the commodity and water fields; separate rural health unit birthing annexes from independent service points.</t>
  </si>
  <si>
    <t>335of 360 beds outside directBangsamoro control</t>
  </si>
  <si>
    <t>The province's principal financing indicator is not yet available; the circulated dashboard represents 2 of 24 municipalities; three fields require validation before use.</t>
  </si>
  <si>
    <t>0municipalities with areferral completion measure</t>
  </si>
  <si>
    <t>Locations with a recorded status ÷ all locations</t>
  </si>
  <si>
    <t>SOURCE  ▸  MDN · TABLE 11 · §12 · §12.2 · p. 36</t>
  </si>
  <si>
    <t>All later actions. Later actions cannot be reliably sized, targeted or evaluated without this.</t>
  </si>
  <si>
    <t>Task 3 condition survey, then annual re-survey</t>
  </si>
  <si>
    <t>TITLE AS PRINTED  ▸  # A Annex A — Jurisdiction master table</t>
  </si>
  <si>
    <t>Publish the service-delivery network. A written document naming, for every municipality, the receiving facility at each level, its capability and a contact — including the private infirmaries and cross-provincial flows.</t>
  </si>
  <si>
    <t>Facility deliveries ÷ registered live births</t>
  </si>
  <si>
    <t>No such document was located. Referral completion is unmeasured in all 24 municipalities. Requires no capital expenditure or new law.</t>
  </si>
  <si>
    <t>Not currently collected (2018: 59.6%)</t>
  </si>
  <si>
    <t>Baseline established, then +15 points</t>
  </si>
  <si>
    <t>Referral measurement; emergency transport planning; obstetric and trauma pathways.</t>
  </si>
  <si>
    <t>FHSIS municipal returns; quarterly</t>
  </si>
  <si>
    <t>Stage Three — payment</t>
  </si>
  <si>
    <t>Verify the apex facility. Confirm the licence status and receiving capability of the Maguindanao Provincial Hospital and the two other government hospitals against trauma, basic surgical and comprehensive emergency obstetric and newborn care criteria.</t>
  </si>
  <si>
    <t>One building holds 38 per cent of the province's licensed beds and its recorded licence expired on 31 December 2024.</t>
  </si>
  <si>
    <t>A referral network that can be relied upon; the basis for any bed investment.</t>
  </si>
  <si>
    <t>Konsulta first patient encounters</t>
  </si>
  <si>
    <t>Provincial facility register and denominator validation</t>
  </si>
  <si>
    <t>First patient encounters ÷ Konsulta registrations, MDN only</t>
  </si>
  <si>
    <t>One adopted register; twelve validated municipal denominators</t>
  </si>
  <si>
    <t>All twelve municipalities</t>
  </si>
  <si>
    <t>Screen and stock for the conditions the region reports as its killers. PhilPEN screening at all 24 rural health units; four generic antihypertensives, one statin, metformin and salbutamol on the provincial procurement list with a maintained buffer stock.</t>
  </si>
  <si>
    <t>Not reported for this province</t>
  </si>
  <si>
    <t>IPHO operating budget; BRIGHT-BARMM technical assistance</t>
  </si>
  <si>
    <t>Reported, then ≥15%</t>
  </si>
  <si>
    <t>Cardiovascular readiness in the undivided Maguindanao was the highest in BARMM at 62.4, on an equipment sub-score of 96.6; screening is 3.96 per cent; aspirin availability across BARMM units is 5–10 per cent and thiazides lower.</t>
  </si>
  <si>
    <t>PhilHealth disaggregated return; quarterly</t>
  </si>
  <si>
    <t>Measurable reduction in the leading causes of death, at the lowest unit cost in this report.</t>
  </si>
  <si>
    <t>PhilHealth Konsulta disaggregation and claims capability</t>
  </si>
  <si>
    <t>Accredited facilities generating claims</t>
  </si>
  <si>
    <t>One data request; encoder and connectivity support at 19 accredited Konsulta sites</t>
  </si>
  <si>
    <t>Accredited institutions with ≥1 paid claim in the quarter ÷ accredited institutions</t>
  </si>
  <si>
    <t>The nineteen accredited Konsulta providers</t>
  </si>
  <si>
    <t>Not measured</t>
  </si>
  <si>
    <t>PhilHealth; LGU Personal Services; Special Health Fund once constituted</t>
  </si>
  <si>
    <t>Fix missed opportunities before buying more vaccine. Screen every contact for eligibility; vaccinate the mildly ill child under standing guidance; hold open-vial sessions; then catch-up campaign in the seven municipalities below 50 per cent coverage.</t>
  </si>
  <si>
    <t>≥80% of 52</t>
  </si>
  <si>
    <t>PhilHealth facility-level claims roster; quarterly</t>
  </si>
  <si>
    <t>74.9 per cent of vaccination visits in the undivided province included a missed opportunity; immunization staff-and-guidelines readiness was 38.9 against equipment 79.1.</t>
  </si>
  <si>
    <t>PhilPEN screening protocol and register</t>
  </si>
  <si>
    <t>Special Health Fund constituted and reporting</t>
  </si>
  <si>
    <t>Twelve municipal protocols; one provincial register; municipal coverage targets</t>
  </si>
  <si>
    <t>Child survival. Requires no capital and addresses a larger share of the deficit than procurement.</t>
  </si>
  <si>
    <t>All twelve; priority to the seven below 2 per cent</t>
  </si>
  <si>
    <t>Binary; then pooled amount and disbursement rate</t>
  </si>
  <si>
    <t>LGU MOOE; DOH NCD programme support; MOH-BARMM</t>
  </si>
  <si>
    <t>Not constituted</t>
  </si>
  <si>
    <t>Constituted and reporting</t>
  </si>
  <si>
    <t>Build and staff first contact, sequenced by uncovered barangay and catchment load.</t>
  </si>
  <si>
    <t>Essential NCD medicines buffer</t>
  </si>
  <si>
    <t>Provincial Health Board minutes; quarterly</t>
  </si>
  <si>
    <t>Five generic medicines on the provincial procurement list with a maintained buffer</t>
  </si>
  <si>
    <t>132 barangays with no registered facility; 23 of 24 municipalities above the 1:20,000 standard; a 17-unit rural health unit shortfall.</t>
  </si>
  <si>
    <t>Stage Four — referral</t>
  </si>
  <si>
    <t>All twelve rural health units</t>
  </si>
  <si>
    <t>The longer-term solution. Longest lead time, highest capital cost, dependent on actions 1 and 3 for siting.</t>
  </si>
  <si>
    <t>Special Health Fund; LGU MOOE; MOH-BARMM procurement</t>
  </si>
  <si>
    <t>Service-delivery network document and access arrangements</t>
  </si>
  <si>
    <t>Repair the record. Permanent funded FHSIS positions; extend iClinicSys from claims to statutory reporting; civil registration through the barangay workforce; extend the EBDM cycle to the three absent municipalities.</t>
  </si>
  <si>
    <t>One network document; four written arrangements with DOH and DND</t>
  </si>
  <si>
    <t>Municipalities with a published receiving facility</t>
  </si>
  <si>
    <t>6 of 23 units have an FHSIS policy issuance; 4 of 22 use the installed EMR for reporting; roughly four in five regional deaths are unregistered.</t>
  </si>
  <si>
    <t>All twelve; the four bed-holding municipalities first</t>
  </si>
  <si>
    <t>Municipalities named in the service-delivery network document ÷ 12</t>
  </si>
  <si>
    <t>No capital cost — Provincial Health Board resolution</t>
  </si>
  <si>
    <t>The ability to know whether any of actions 1 to 6 worked. Runs in parallel with all of them and should proceed without delay.</t>
  </si>
  <si>
    <t>Provincial network document; semi-annually</t>
  </si>
  <si>
    <t>Cold-chain and equipment condition survey and remediation</t>
  </si>
  <si>
    <t>Condition established for 151 locations; remediation scoped from the result</t>
  </si>
  <si>
    <t>SOURCE  ▸  MDS · TABLE 13 · §11 · p. 34</t>
  </si>
  <si>
    <t>Referrals with confirmed arrival ÷ referrals initiated</t>
  </si>
  <si>
    <t>All twelve; Datu Odin Sinsuat first as the Awang upstream node</t>
  </si>
  <si>
    <t>0 observations</t>
  </si>
  <si>
    <t>MOH-BARMM; UNICEF and partner cold-chain support</t>
  </si>
  <si>
    <t>Measured in all twelve</t>
  </si>
  <si>
    <t>Y1 Q2–Y2</t>
  </si>
  <si>
    <t>Referral logbook and feedback form; quarterly</t>
  </si>
  <si>
    <t>Beds under written access arrangement</t>
  </si>
  <si>
    <t>Barangay health station construction</t>
  </si>
  <si>
    <t>Beds covered by a written access arrangement ÷ 335</t>
  </si>
  <si>
    <t>46 stations, subject to Task 1 and Task 3</t>
  </si>
  <si>
    <t>Sultan Kudarat 9, Kabuntalan 8, Northern Kabuntalan 6, Upi 6, Talitay 5, Buldon 3, Datu Blah T. Sinsuat 3, Barira 2, Parang 2, Datu Odin Sinsuat 1, Matanog 1</t>
  </si>
  <si>
    <t>Health Facility Enhancement Program; LGU 20 per cent development fund; Special Development Fund</t>
  </si>
  <si>
    <t>TITLE AS PRINTED  ▸  The validation programme</t>
  </si>
  <si>
    <t>Provincial Health Board resolutions; annually</t>
  </si>
  <si>
    <t>Stage Five — the record</t>
  </si>
  <si>
    <t>Rural health unit augmentation</t>
  </si>
  <si>
    <t>Staffing and capacity augmentation in the four municipalities above 60,000 residents</t>
  </si>
  <si>
    <t>Datu Odin Sinsuat, Sultan Kudarat, Parang, Upi</t>
  </si>
  <si>
    <t>LGU Personal Services; MOH-BARMM HRH augmentation; LIPH</t>
  </si>
  <si>
    <t>Municipalities with an FHSIS budget line</t>
  </si>
  <si>
    <t>Municipalities with a line-item FHSIS appropriation ÷ 12</t>
  </si>
  <si>
    <t>FHSIS institutionalisation and civil-registration baseline</t>
  </si>
  <si>
    <t>6 of 11 assessed</t>
  </si>
  <si>
    <t>Six ordinances; five budget lines; five plantilla conversions; one completeness baseline</t>
  </si>
  <si>
    <t>The six municipalities with no policy issuance; the five with no budget line</t>
  </si>
  <si>
    <t>Sanggunian appropriation ordinances; annually</t>
  </si>
  <si>
    <t>LGU Personal Services and MOOE; Sanggunian appropriation</t>
  </si>
  <si>
    <t>Reports submitted complete and on time</t>
  </si>
  <si>
    <t>Units at 100% monthly timeliness ÷ units assessed</t>
  </si>
  <si>
    <t>Content</t>
  </si>
  <si>
    <t>7 of 11</t>
  </si>
  <si>
    <t>Responsible</t>
  </si>
  <si>
    <t>MOH-BARMM FHSIS assessment; annually</t>
  </si>
  <si>
    <t>SOURCE  ▸  MDS · EXHIBIT 8 · §12 · §12.1 · p. 35</t>
  </si>
  <si>
    <t>Civil registry death entries ÷ facility and community death reports</t>
  </si>
  <si>
    <t>region not measured; registered counts indicate a material gap</t>
  </si>
  <si>
    <t>TITLE AS PRINTED  ▸  What the two-year programme should deliver</t>
  </si>
  <si>
    <t>Rebuild the provincial evidence product</t>
  </si>
  <si>
    <t>Baseline established in three municipalities, then province-wide</t>
  </si>
  <si>
    <t>Task 7 reconciliation; annually</t>
  </si>
  <si>
    <t>Re-run the province build against the 21 municipal workbooks in the Maguindanao del Sur worksheet folder, not the Maguindanao del Norte reference-sample folder. Map "SHARIFF AGUAK (CAPITAL)" to PSGC 1908820000, recovering 10 facility records, 81 supplemental issue records and 8 planning priorities. Re-parse revenue with a space-tolerant thousands rule and equipment readiness with an "N out of M (P%)" rule. Quarantine all workforce headcounts except the six municipalities with clean records. De-duplicate EBDM record fan-out to rural health unit birthing annexes. Close the 25 open QC flags.</t>
  </si>
  <si>
    <t>SOURCE  ▸  SGA · TABLE 12 · §12 · §12.2 · p. 35</t>
  </si>
  <si>
    <t>17rural health units short ofthe 1:20,000 catchment</t>
  </si>
  <si>
    <t>23birthing homes to bereclassified as annexes</t>
  </si>
  <si>
    <t>14municipalities with neither ahospital nor an infirmary</t>
  </si>
  <si>
    <t>≈3,750tuberculosis cases a yearnot notified (order of magnitude)</t>
  </si>
  <si>
    <t>TITLE AS PRINTED  ▸  Area monitoring indicators</t>
  </si>
  <si>
    <t>96.0%of adults never screenedunder PhilPEN</t>
  </si>
  <si>
    <t>Request the PhilHealth disaggregation</t>
  </si>
  <si>
    <t>24rural health units needinga resolved commodity baseline</t>
  </si>
  <si>
    <t>113,435residents in the threenon-filing municipalities</t>
  </si>
  <si>
    <t>Formal request to PhilHealth Regional Office for Konsulta registrations, first patient encounters and statements of account payable disaggregated by the post-2022 provincial boundary for 2021–2025, together with the facility-level accreditation roster and claims data for Maguindanao del Sur. Priority data request; conditions the financing analysis.</t>
  </si>
  <si>
    <t>SOURCE  ▸  MDS · TABLE 14 · §12 · §12.2 · p. 35</t>
  </si>
  <si>
    <t>Governor's Office; IPHO; MOH-BARMM</t>
  </si>
  <si>
    <t>TITLE AS PRINTED  ▸  Two-year programme: volumetrics, sequencing and financing route</t>
  </si>
  <si>
    <t>Resolve the commodity field</t>
  </si>
  <si>
    <t>Stock-count at all 24 rural health units against a defined tracer list, on one date, using one definition. Determine whether the 18 zero returns are real. If real, trigger emergency redistribution; if not, correct the indicator definition before any procurement is sized.</t>
  </si>
  <si>
    <t>Source once established</t>
  </si>
  <si>
    <t>IPHO with all 24 municipal health offices</t>
  </si>
  <si>
    <t>Accredited facilities</t>
  </si>
  <si>
    <t>0–21</t>
  </si>
  <si>
    <t>Facilities holding a PhilHealth accreditation of any class, of 66</t>
  </si>
  <si>
    <t>PhilHealth accreditation register</t>
  </si>
  <si>
    <t>Publish the service-delivery network</t>
  </si>
  <si>
    <t>YAKAP providers</t>
  </si>
  <si>
    <t>Facilities currently accredited as YAKAP providers (historical 2024 classification: Konsulta)</t>
  </si>
  <si>
    <t>Name, for each of the 24 municipalities, the receiving facility for primary, first-referral and definitive care; record capability (obstetric, surgical, trauma, dialysis, mental health) and a verified telephone contact; include the six private infirmaries and the cross-provincial flow to and from Maguindanao del Norte. Adopt by Provincial Health Board resolution.</t>
  </si>
  <si>
    <t>Not established; dated project records report 0</t>
  </si>
  <si>
    <t>PhilHealth current facility-level roster</t>
  </si>
  <si>
    <t>Dataset and register repair</t>
  </si>
  <si>
    <t>PhilHealth income</t>
  </si>
  <si>
    <t>One rebuilt provincial evidence product on 21 workbooks; one adopted facility register; PhilHealth disaggregation obtained; commodity baseline established at 24 units; 25 QC flags closed</t>
  </si>
  <si>
    <t>Amount paid to facilities in the area, per year</t>
  </si>
  <si>
    <t>PhilHealth returns</t>
  </si>
  <si>
    <t>Verify the apex facility and the public hospital network</t>
  </si>
  <si>
    <t>Licensed facilities</t>
  </si>
  <si>
    <t>Confirm current DOH-HFSRB licence status for the Maguindanao Provincial Hospital and Guindulungan Doctors Hospital, both recorded as expired, and for the nine facilities with null validity dates. Assess the three government hospitals against trauma, basic surgical and CEmONC criteria.</t>
  </si>
  <si>
    <t>Facilities holding a current licence to operate</t>
  </si>
  <si>
    <t>SOURCE  ▸  BARMM · ANNEX B · §B · p. 39</t>
  </si>
  <si>
    <t>2, both private, both dated to 31 December 2025</t>
  </si>
  <si>
    <t>One published network document covering 24 municipalities, 6 hospitals and 6 infirmaries; Provincial Health Board resolution</t>
  </si>
  <si>
    <t>DOH-HFSRB</t>
  </si>
  <si>
    <t>Registered barangays</t>
  </si>
  <si>
    <t>Barangays carrying at least one entry in the national facility register, of 63</t>
  </si>
  <si>
    <t>DOH facility register</t>
  </si>
  <si>
    <t>TITLE AS PRINTED  ▸  Each of the four volumes carries its own validation programme, structured for completion within ninety days of adoption by the responsible health board, and none requires capital expenditure. The table consolidates the twenty-nine tasks in those four programmes into nineteen, and separates what the jurisdictions owe from what the Ministry owes. Ten of the nineteen require Ministry initiation or coordination; those are the rows prefixed M, and the four capital programmes are contingent on them.</t>
  </si>
  <si>
    <t>Functional cold chain</t>
  </si>
  <si>
    <t>Facilities with a functional vaccine cold chain, of 66</t>
  </si>
  <si>
    <t>23 accredited rural health units equipped: power backup, connectivity, one trained claims officer each; iClinicSys extended from claims to FHSIS reporting at all 22 units where it is installed; one provincial health financing unit</t>
  </si>
  <si>
    <t>The existing accredited base — the largest in BARMM; the one unaccredited rural health unit brought in</t>
  </si>
  <si>
    <t>Reconcile the 222-record DOH/HFSRB extract against municipal self-reports, which differ materially — Datu Paglas reports 23 facilities against 14 registered, a divergence of 64 per cent. Separate independent service points from rural health unit annexes. Resolve the duplicate registration of ZST Birthing Clinic. Record which of the 128 stations have a building.</t>
  </si>
  <si>
    <t>Municipal inventory, validated</t>
  </si>
  <si>
    <t>IPHO; MOH-BARMM; municipal health offices</t>
  </si>
  <si>
    <t>Municipalities with an operating rural health unit</t>
  </si>
  <si>
    <t>PhilPEN screening protocol at all 24 rural health units; provincial procurement list carrying four generic antihypertensives, one statin, metformin and salbutamol with a maintained buffer stock</t>
  </si>
  <si>
    <t>Of eight</t>
  </si>
  <si>
    <t>All 24 municipalities; the four reporting under 1 per cent screening first — Datu Piang, Datu Abdullah Sangki, Datu Anggal Midtimbang, Pagagawan</t>
  </si>
  <si>
    <t>6 on the municipalities' account; 8 on the register</t>
  </si>
  <si>
    <t>Task 3 determination</t>
  </si>
  <si>
    <t>Extend the EBDM cycle to the three absent municipalities</t>
  </si>
  <si>
    <t>Gen. S.K. Pendatun, Shariff Saydona Mustapha and South Upi — 113,435 residents, 46 barangays, 50 registered facilities and one municipal hospital. Two of the three hold the province's best barangay coverage and their absence may bias provincial narratives.</t>
  </si>
  <si>
    <t>Referral completion</t>
  </si>
  <si>
    <t>What it conditions</t>
  </si>
  <si>
    <t>Referrals despatched for which arrival is recorded</t>
  </si>
  <si>
    <t>Immunization: contact quality first, then coverage</t>
  </si>
  <si>
    <t>M1</t>
  </si>
  <si>
    <t>Not computable — no observations</t>
  </si>
  <si>
    <t>Missed-opportunity protocol and supervision at all 24 units; cold-chain equipment and temperature monitoring at every immunizing facility; catch-up campaign in the seven municipalities below 50 per cent</t>
  </si>
  <si>
    <t>Referral register (Task 5)</t>
  </si>
  <si>
    <t>Re-run the EBDM build against all 57 filed workbooks with the parser rules at §10.3; close the 92 open QC flags; recover the two unread Lanao del Sur workbooks; restore the Maguindanao del Sur capital to the join; remove the misfiled Datu Paglas records from the Maguindanao del Norte workbook</t>
  </si>
  <si>
    <t>Datu Hoffer Ampatuan, Shariff Saydona Mustapha, Sultan sa Barongis, Datu Saudi-Ampatuan, Pagalungan, Mamasapano, Pagagawan</t>
  </si>
  <si>
    <t>MOH-BARMM EPI; UNICEF; LGU; 20 per cent Development Fund</t>
  </si>
  <si>
    <t>FHSIS transmission</t>
  </si>
  <si>
    <t>MOH-BARMM with the BRIGHT-BARMM EBDM team</t>
  </si>
  <si>
    <t>Municipalities whose return reaches the regional system</t>
  </si>
  <si>
    <t>Obtain the GIDA determination</t>
  </si>
  <si>
    <t>0 of 2 assessed; 6 not assessed</t>
  </si>
  <si>
    <t>Every coverage, density and per-capita figure; all four allocation bases</t>
  </si>
  <si>
    <t>Maternal and newborn</t>
  </si>
  <si>
    <t>MOH-BARMM FHSIS</t>
  </si>
  <si>
    <t>Request the DOH-BLHSD GIDA barangay masterlist filtered to PSGC 1908800000, with barangay PSGC codes and year of determination; where no determination exists, initiate profiling under DOH AO No. 2020-0043 for the municipalities naming isolated barangays in their own returns.</t>
  </si>
  <si>
    <t>M2</t>
  </si>
  <si>
    <t>Provincial safe-motherhood instrument on the Shariff Aguak model: traditional birth attendant registry, danger-sign training, referral incentive, penalties directed at unaccredited facilities and not at mothers; BEmONC training against the province's own count of four trained midwives in the capital</t>
  </si>
  <si>
    <t>Issue the MOH-BARMM and HFEP unit-cost schedules</t>
  </si>
  <si>
    <t>IPHO; MOH-BARMM; DOH-BLHSD</t>
  </si>
  <si>
    <t>The 57 registered birthing homes; the municipalities recording lowest 2018 facility delivery — Rajah Buayan, Datu Unsay, Sultan sa Barongis, Pagagawan, Mamasapano</t>
  </si>
  <si>
    <t>Children 12–23 months with all doses</t>
  </si>
  <si>
    <t>LGU; MOH-BARMM; PhilHealth maternity care package</t>
  </si>
  <si>
    <t>3%, territory, 2019, Tier B</t>
  </si>
  <si>
    <t>MOH-BARMM Planning Division</t>
  </si>
  <si>
    <t>FHSIS once transmitting; survey</t>
  </si>
  <si>
    <t>Conversion of four volumetric sets into four costed envelopes</t>
  </si>
  <si>
    <t>Catchment reconciliation</t>
  </si>
  <si>
    <t>M3</t>
  </si>
  <si>
    <t>Barangay stations sequenced against 132 uncovered barangays, beginning with Datu Salibo (16 uncovered of 17), Datu Paglas (13 of 23), Datu Piang (10 of 16), Pagalungan (9 of 12), Mamasapano (7 of 14), Guindulungan (7 of 11) and Shariff Saydona Mustapha (7 of 16); second rural health units in the five municipalities above 39,000 residents; permanent plantilla positions</t>
  </si>
  <si>
    <t>Sum of reported facility catchments as a share of census population</t>
  </si>
  <si>
    <t>SOURCE  ▸  SGA · EXHIBIT 12 · §10 · p. 31</t>
  </si>
  <si>
    <t>Uncovered barangays and catchment load (§12.3). Field validation and interim outreach precede capital in every case</t>
  </si>
  <si>
    <t>Request the PhilHealth disaggregation for 2021–2025 on the post-2022 PSGC, with a Special Geographic Area line and a facility-level accreditation roster; and require correction of the three arithmetic failures in the published regional table</t>
  </si>
  <si>
    <t>Corrected inventory (Task 4)</t>
  </si>
  <si>
    <t>Health Facility Enhancement Program; National Tax Allotment; LGU capital outlay; BAA 49 provincial augmentation</t>
  </si>
  <si>
    <t>MDN, MDS, SGA</t>
  </si>
  <si>
    <t>MOH-BARMM and the Governors, to PhilHealth Corporate Planning</t>
  </si>
  <si>
    <t>Fiscal regime</t>
  </si>
  <si>
    <t>The entire financing analysis in three jurisdictions</t>
  </si>
  <si>
    <t>Whether the eight municipalities receive a National Tax Allotment share</t>
  </si>
  <si>
    <t>Not determined</t>
  </si>
  <si>
    <t>Permanent funded FHSIS position in each of the 24 municipalities; FHSIS policy issuance in the 17 units without one; civil-registration programme through the barangay workforce on the Paglat model; EBDM cycle extended to the three absent municipalities</t>
  </si>
  <si>
    <t>M4</t>
  </si>
  <si>
    <t>DBM per-LGU annex (Task 1)</t>
  </si>
  <si>
    <t>All 24; the 17 without a policy issuance first</t>
  </si>
  <si>
    <t>Obtain the GIDA determination in a single request for PSGC 1908700000, 1908800000 and 1999901000–1999908000; where none exists, initiate profiling under DOH AO No. 2020-0043</t>
  </si>
  <si>
    <t>LGU plantilla (RA 7160); MOH-BARMM; Bangsamoro Government under RA 11054 Art. V §2(ss)</t>
  </si>
  <si>
    <t>MOH-BARMM to DOH Bureau of Local Health Systems Development</t>
  </si>
  <si>
    <t>The isolation variable in three allocation bases</t>
  </si>
  <si>
    <t>SOURCE  ▸  MDS · (unlabelled) · §12 · §12.3 · p. 36</t>
  </si>
  <si>
    <t>M5</t>
  </si>
  <si>
    <t>Obtain a written determination of the Special Geographic Area’s fiscal regime — the DBM per-LGU annex for Region XIX checked for PSGC 1999901000–1999908000; failing that, a statement of basis, quantum and duration of the Bangsamoro subsidy under Acts 41–48</t>
  </si>
  <si>
    <t>Bangsamoro Treasury; DBM; the Area’s Member of Parliament</t>
  </si>
  <si>
    <t>TITLE AS PRINTED  ▸  On that basis the first tranche is the seven municipalities carrying seven or more uncovered barangays, of which two also carry the province's thinnest networks:</t>
  </si>
  <si>
    <t>Every recurrent line in the Area; the applicability of Mandanas</t>
  </si>
  <si>
    <t>M6</t>
  </si>
  <si>
    <t>Obtain a written statement of the licensing regime — what licence a municipal rural health unit and a barangay health station require, from which authority, against which standards, in a devolved region</t>
  </si>
  <si>
    <t>Settle the two regimes — fiscal and licensing.</t>
  </si>
  <si>
    <t>SGA (and all four)</t>
  </si>
  <si>
    <t>The creating statutes make the Bangsamoro subsidy conditional on a National Tax Allotment share the budget issuances do not appear to extend to these municipalities; and no facility can be accredited until it is known what licence it needs and from whom.</t>
  </si>
  <si>
    <t>DOH-HFSRB; MOH-BARMM; Office of the Chief Minister</t>
  </si>
  <si>
    <t>0–90</t>
  </si>
  <si>
    <t>Uncovered</t>
  </si>
  <si>
    <t>Accreditation of 66 service locations; ≈₱219 million a year</t>
  </si>
  <si>
    <t>Everything with a recurrent or an income line. No plantilla post, commodity buffer, maintenance schedule or revenue projection can be sized without both answers.</t>
  </si>
  <si>
    <t>M7</t>
  </si>
  <si>
    <t>Licensed beds, all classes</t>
  </si>
  <si>
    <t>Convene the Regional Management Council and direct publication of a service-delivery network for each jurisdiction, with a referral register opened at the same time</t>
  </si>
  <si>
    <t>MOH-BARMM under the UHC-BARMM implementing rules of 26 April 2021</t>
  </si>
  <si>
    <t>Fix the datasets.</t>
  </si>
  <si>
    <t>Referral completion measurement region-wide</t>
  </si>
  <si>
    <t>One adopted facility register; the catchment field corrected in three workbooks; a physical workforce headcount. Three facility counts are in circulation and every derived figure sits on a denominator 37.4 per cent too large.</t>
  </si>
  <si>
    <t>M8</t>
  </si>
  <si>
    <t>Allocation, procurement quantities and any coverage rate. No later action can be targeted without these.</t>
  </si>
  <si>
    <t>Re-field the FHSIS assessment on a repaired instrument, extending coverage to the 16 unassessed Lanao del Sur units and the six unassessed Special Geographic Area municipalities</t>
  </si>
  <si>
    <t>LDS, SGA</t>
  </si>
  <si>
    <t>MOH-BARMM Health Information Management</t>
  </si>
  <si>
    <t>Accredit the network that already exists.</t>
  </si>
  <si>
    <t>Any comparative statement about reporting capacity</t>
  </si>
  <si>
    <t>Sixty-three barangays report a service point. The census-based ₱219 million figure is only a gross worksheet scenario; current YAKAP accreditation and payment status require official verification.</t>
  </si>
  <si>
    <t>M9</t>
  </si>
  <si>
    <t>Refer the two legal questions at §11.2</t>
  </si>
  <si>
    <t>Eligibility for primary-care payments, maternity and TB packages, and any future Special Health Fund contribution.</t>
  </si>
  <si>
    <t>MOH-BARMM to the Office of the Chief Minister and the Bangsamoro Attorney General</t>
  </si>
  <si>
    <t>Health board constitution; who holds the Special Health Fund in the Area</t>
  </si>
  <si>
    <t>Constitute the cold chain and open the vaccination schedule.</t>
  </si>
  <si>
    <t>M10</t>
  </si>
  <si>
    <t>Issue the correction of record on the three citations at §11.1</t>
  </si>
  <si>
    <t>Six refrigerators for 63 barangays, against a measured full-vaccination rate of 3 per cent and 78.6 per cent of visits carrying a missed opportunity. The stations exist; the equipment and the schedule do not.</t>
  </si>
  <si>
    <t>The highest-certainty clinical result available in the two-year period, using the network already built.</t>
  </si>
  <si>
    <t>MOH-BARMM</t>
  </si>
  <si>
    <t>The only ranked cause profile in the series; every facility-standard statement</t>
  </si>
  <si>
    <t>J1</t>
  </si>
  <si>
    <t>Publish the referral network and open the completion register.</t>
  </si>
  <si>
    <t>Adopt one facility register per jurisdiction, reconciling the registry extract against municipal self-reports, separating rural health unit birthing annexes from independent service points, and resolving named duplicates</t>
  </si>
  <si>
    <t>Every destination is outside the area; no document names one; referral completion has no observations anywhere in the region. Six of the eight municipalities were named in the July 2026 region-wide displacement reporting.</t>
  </si>
  <si>
    <t>IPHOs and municipal health offices with MOH-BARMM and DOH-HFSRB</t>
  </si>
  <si>
    <t>0–75</t>
  </si>
  <si>
    <t>Measurement of Stage Four for the first time, and a disaster-preparedness instrument. No capital cost.</t>
  </si>
  <si>
    <t>Siting of every capital item</t>
  </si>
  <si>
    <t>J2</t>
  </si>
  <si>
    <t>Establish cold-chain and equipment condition at the service locations carrying no recorded status, on one instrument, one scale and one enumerator per municipality</t>
  </si>
  <si>
    <t>Complete the network at its edges.</t>
  </si>
  <si>
    <t>Municipal health officers under IPHO supervision</t>
  </si>
  <si>
    <t>Six barangays hold a service point and no registration; three service points are structures the community built; one completed building is cordoned under a land claim; two municipalities report no rural health unit.</t>
  </si>
  <si>
    <t>Any cold-chain procurement quantity</t>
  </si>
  <si>
    <t>Eligibility for licensure, accreditation and facility enhancement in the places where it is currently absent.</t>
  </si>
  <si>
    <t>J3</t>
  </si>
  <si>
    <t>Verify licence and receiving capability of the acute inpatient facilities recorded with expired or null validity dates, against trauma, basic surgical and CEmONC criteria</t>
  </si>
  <si>
    <t>LDS, MDN, MDS, SGA</t>
  </si>
  <si>
    <t>IPHOs; MOH-BARMM; DOH-HFSRB</t>
  </si>
  <si>
    <t>Establish transmission and civil registration.</t>
  </si>
  <si>
    <t>The referral network document</t>
  </si>
  <si>
    <t>Tranche total</t>
  </si>
  <si>
    <t>Two of eight municipalities assessed, both recorded as submitting no report; no civil registration figures exist. The region holds the civil registration power under the Bangsamoro Organic Law and needs no national action to exercise it.</t>
  </si>
  <si>
    <t>J4</t>
  </si>
  <si>
    <t>The denominators and numerators for every rate the area will be measured on, including the monitoring set at Table 12.</t>
  </si>
  <si>
    <t>Minute referral and access arrangements for the 335 beds outside Bangsamoro control, and for the private tier holding 39 per cent of one province’s beds</t>
  </si>
  <si>
    <t>MDN, MDS</t>
  </si>
  <si>
    <t>Provincial Health Boards, by resolution</t>
  </si>
  <si>
    <t>SOURCE  ▸  SGA · EXHIBIT 13 · §12 · §12.1 · p. 35</t>
  </si>
  <si>
    <t>SOURCE  ▸  SGA · TABLE 10 · §11 · p. 33</t>
  </si>
  <si>
    <t>Any statement that a referral has a destination</t>
  </si>
  <si>
    <t>TITLE AS PRINTED  ▸  Volumetrics for the two-year programme</t>
  </si>
  <si>
    <t>J5</t>
  </si>
  <si>
    <t>Resolve the commodity field by stock-count at all rural health units against a defined tracer list, on one date and one definition; if the eighteen zero returns are real, trigger emergency redistribution</t>
  </si>
  <si>
    <t>6–9</t>
  </si>
  <si>
    <t>TITLE AS PRINTED  ▸  The ninety-day validation programme</t>
  </si>
  <si>
    <t>Any procurement sizing; potentially an immediate service response</t>
  </si>
  <si>
    <t>J6</t>
  </si>
  <si>
    <t>Rural health units to be licensed and accredited, the number contingent on Task 3</t>
  </si>
  <si>
    <t>Correct the catchment field and count the workforce — three cells in three workbooks, and a physical headcount by cadre and appointment status at all 66 service points</t>
  </si>
  <si>
    <t>Barangay health stations in the accreditation and upgrading pipeline</t>
  </si>
  <si>
    <t>The eight municipal health offices with the IOM EBDM workstream</t>
  </si>
  <si>
    <t>Facilities requiring cold-chain equipment or a power supply capable of running it</t>
  </si>
  <si>
    <t>Barangays requiring a named receiving facility in a published referral network</t>
  </si>
  <si>
    <t>Every derived value computed on a catchment claim 37.4 per cent above census</t>
  </si>
  <si>
    <t>J7</t>
  </si>
  <si>
    <t>Place the unregistered and self-help facilities on the register and resolve the Central Labas land claim</t>
  </si>
  <si>
    <t>The two municipalities concerned; DOH-HFSRB; MILG-BARMM</t>
  </si>
  <si>
    <t>What it requires</t>
  </si>
  <si>
    <t>Rural health units required at the 1:20,000 target; short 2 on the register, short 5 on operations</t>
  </si>
  <si>
    <t>Barangays to be placed on the national facility register</t>
  </si>
  <si>
    <t>HFEP eligibility for six barangays</t>
  </si>
  <si>
    <t>Self-help structures requiring a facility-type determination</t>
  </si>
  <si>
    <t>J8</t>
  </si>
  <si>
    <t>Municipalities requiring a funded FHSIS focal and an established transmission route</t>
  </si>
  <si>
    <t>Extend the EBDM cycle to the 27 absent local government units — 745,238 residents, 654 barangays</t>
  </si>
  <si>
    <t>IPHOs with IOM/BRIGHT-BARMM</t>
  </si>
  <si>
    <t>SOURCE  ▸  SGA · TABLE 11 · §12 · §12.2 · p. 35</t>
  </si>
  <si>
    <t>Settle the fiscal regime.</t>
  </si>
  <si>
    <t>Whether any workshop-derived provincial statement is representative</t>
  </si>
  <si>
    <t>J9</t>
  </si>
  <si>
    <t>A written determination on whether the eight municipalities are in the National Tax Allotment distribution, obtained by requesting the per-local-government-unit annex for Region XIX and checking for PSGC 1999901000–1999908000; and, if they are not, a statement of the basis, quantum and duration of the Bangsamoro subsidy under Acts Nos. 41–48.</t>
  </si>
  <si>
    <t>Report(s)</t>
  </si>
  <si>
    <t>Establish a civil-registration baseline by reconciling facility death records against civil registry entries for one recent twelve-month period in three municipalities of differing size per jurisdiction</t>
  </si>
  <si>
    <t>Locator</t>
  </si>
  <si>
    <t>Bangsamoro Treasury; Department of Budget and Management; the area's Member of Parliament</t>
  </si>
  <si>
    <t>IPHOs with municipal civil registrars</t>
  </si>
  <si>
    <t>Finding</t>
  </si>
  <si>
    <t>Why it binds</t>
  </si>
  <si>
    <t>Every mortality rate and cause statement</t>
  </si>
  <si>
    <t>Live check in this workbook</t>
  </si>
  <si>
    <t>SOURCE  ▸  BARMM · ANNEX C · §C · p. 41</t>
  </si>
  <si>
    <t>Settle the licensing regime, then apply.</t>
  </si>
  <si>
    <t>A written statement of what licence a municipal rural health unit and a barangay health station require in the Bangsamoro region, from which authority, against which standards; then a documentary readiness assessment of the six to nine rural health units and the preparation of applications.</t>
  </si>
  <si>
    <t>DOH-HFSRB; MOH-BARMM; the eight municipal health offices</t>
  </si>
  <si>
    <t>TITLE AS PRINTED  ▸  Sixty items are recorded across the four volumes’ own gap registers. The fourteen below are those that recur in two or more jurisdictions, or that a single jurisdiction identifies as decisive. They are ordered by consequence. Twelve of the fourteen are documents retrievable by written request; two require field collection; none requires a new research design.</t>
  </si>
  <si>
    <t>Licensure and accreditation of the existing network</t>
  </si>
  <si>
    <t>Numbering defect</t>
  </si>
  <si>
    <t>Licence and PhilHealth YAKAP provider accreditation for the 6–9 rural health units; TB-DOTS and maternity-care accreditation where standards are met</t>
  </si>
  <si>
    <t>Gap</t>
  </si>
  <si>
    <t>Adopt one facility register.</t>
  </si>
  <si>
    <t>All eight municipalities. Sequenced by documentary readiness established at Task 2, not by population</t>
  </si>
  <si>
    <t>LDS · front matter and body</t>
  </si>
  <si>
    <t>MOH-BARMM programme funds; municipal budget; SGADA. Self-financing from PhilHealth reimbursement once achieved</t>
  </si>
  <si>
    <t>Where to obtain it</t>
  </si>
  <si>
    <t>Physical inspection of the nine registered rural health units — including the two the municipalities do not claim — the two private birthing homes and their licence status, and the six barangays with a service point and no registration; resolution of the ownership subclassification for the eight new municipal units.</t>
  </si>
  <si>
    <t>The front-matter TABLES list names Table 3 (First-contact infrastructure) and Table 11 (Provincial monitoring indicators); neither appears in the body under those numbers. Table 11 is absent from the document entirely.</t>
  </si>
  <si>
    <t>MOH-BARMM; MILG-BARMM; DOH-HFSRB; the eight municipalities</t>
  </si>
  <si>
    <t>A monitoring framework named in the contents list but absent from the body cannot be used to baseline the two-year programme, and the volume's own indicator set is therefore unstated.</t>
  </si>
  <si>
    <t>PhilHealth Konsulta and claims data are not disaggregated on the post-2022 boundary, and the Special Geographic Area has no separate line</t>
  </si>
  <si>
    <t>Cold chain establishment</t>
  </si>
  <si>
    <t>03_Table_Index — filter Report = LDS and compare against the front-matter list.</t>
  </si>
  <si>
    <t>The principal financing indicator does not exist for three of four jurisdictions. Named the highest-priority request in two volumes independently.</t>
  </si>
  <si>
    <t>Vaccine refrigerator and monitoring at each rural health unit and at a defined subset of the 57 stations; solar or generator supply where mains power is unstable; one trained cold-chain focal per municipality</t>
  </si>
  <si>
    <t>Open — requires author correction</t>
  </si>
  <si>
    <t>PhilHealth Corporate Planning / BARMM Regional Office: registrations, first patient encounters, statements of account generated and paid, 2021–2025, by PSGC, with a facility-level accreditation roster</t>
  </si>
  <si>
    <t>The three municipalities with no functional cold chain — Kapalawan, Old Kaabakan, Pahamuddin — first; then the 54 facilities recording none</t>
  </si>
  <si>
    <t>MOH-BARMM EPI; Special Development Fund; partner agencies; municipal budget</t>
  </si>
  <si>
    <t>No GIDA determination for three of four jurisdictions</t>
  </si>
  <si>
    <t>Correct the denominator and count the workforce.</t>
  </si>
  <si>
    <t>Isolation was the strongest correlate of modelled access failure where it was available. Three allocation bases rest on two variables instead of three.</t>
  </si>
  <si>
    <t>LDS · §4.6, §4.7, §4.9</t>
  </si>
  <si>
    <t>Immunisation recovery</t>
  </si>
  <si>
    <t>DOH Bureau of Local Health Systems Development masterlist, filtered to PSGC 1908700000, 1908800000 and 1999901000–1999908000, with barangay codes and year of determination</t>
  </si>
  <si>
    <t>Correction of the three rural health unit catchment records that entered a municipality-wide figure; re-issue of every derived value computed on 294,953; and a physical headcount of health staff by cadre and appointment status at all 66 service points.</t>
  </si>
  <si>
    <t>Exhibits 5 and 6 appear in the body mislabelled as a second 'EXHIBIT 3' and 'EXHIBIT 4'. Exhibit 7 ('Where births actually happen') is absent from §4.9. TABLE 2 and TABLE 5 each appear twice under the same number.</t>
  </si>
  <si>
    <t>Open vaccination on every day the station is open, in place of scheduled-day-only sessions; a defaulter list per barangay drawn from the station register; outreach to the 63 barangays</t>
  </si>
  <si>
    <t>Area-wide. The measured full-vaccination rate is 3 per cent and 78.6 per cent of visits carried a missed opportunity</t>
  </si>
  <si>
    <t>Duplicate and missing labels break cross-referencing between the volume and this consolidation, and defeat citation by exhibit number.</t>
  </si>
  <si>
    <t>The eight municipal health offices; IOM EBDM workstream</t>
  </si>
  <si>
    <t>No MOH-BARMM or HFEP unit-cost schedule</t>
  </si>
  <si>
    <t>MOH-BARMM EPI; municipal budget; partner agencies. No capital cost</t>
  </si>
  <si>
    <t>03_Table_Index — duplicate labels are visible on sorting by Report then Label.</t>
  </si>
  <si>
    <t>Four volumes decline to cost their programmes for want of it. Its absence is the reason the region has a defensible allocation logic and no defensible cost envelope.</t>
  </si>
  <si>
    <t>MOH-BARMM Planning Division; DOH Health Facility Enhancement Program</t>
  </si>
  <si>
    <t>Referral network and register</t>
  </si>
  <si>
    <t>No jurisdiction-level causes of death or morbidity</t>
  </si>
  <si>
    <t>One published service-delivery network naming a receiving facility for each of the 63 barangays; a referral register at each rural health unit; an agreed arrangement with receiving facilities outside the area</t>
  </si>
  <si>
    <t>Publish a service-delivery network and open a referral register.</t>
  </si>
  <si>
    <t>LDS · contents list</t>
  </si>
  <si>
    <t>No cause profile, mortality rate, maternal mortality ratio or infant mortality rate can be computed anywhere in the four.</t>
  </si>
  <si>
    <t>Area-wide, with Nabalawag and Kapalawan first — no rural health unit reported, and Nabalawag records a 120-minute median</t>
  </si>
  <si>
    <t>PSA Vital Statistics Division, special request — registered deaths by ICD-10 cause, by PSGC, 2023–2024; MOH-BARMM RESU line lists; IPHO FHSIS M1/M2 returns</t>
  </si>
  <si>
    <t>No capital cost. Administrative act of MOH-BARMM, SGADA and the receiving facilities</t>
  </si>
  <si>
    <t>Section 12 'Two-Year Investment Logic, 2026–2028' is listed twice, at p. 42 and p. 43. There is no §2.1 and no §8.1.</t>
  </si>
  <si>
    <t>A one-page list naming, for each of the 63 barangays, the receiving rural health unit and the receiving inpatient facility, including facilities outside the area and outside the region; and a referral register at each rural health unit recording despatch and arrival.</t>
  </si>
  <si>
    <t>The printed page locator for §12 is ambiguous.</t>
  </si>
  <si>
    <t>MOH-BARMM; SGADA; the eight municipalities; receiving facilities in Cotabato Province, Maguindanao del Norte and Maguindanao del Sur</t>
  </si>
  <si>
    <t>No published service-delivery network or catchment map in any jurisdiction</t>
  </si>
  <si>
    <t>02_Section_Index — both entries are carried verbatim.</t>
  </si>
  <si>
    <t>Rural health unit completion</t>
  </si>
  <si>
    <t>Referral completion cannot be measured and ambulance procurement has no destination. Ten municipalities in one province raised referral as a priority gap and no corresponding map was proposed.</t>
  </si>
  <si>
    <t>MOH-BARMM under the UHC-BARMM implementing rules of 26 April 2021; DOH for retained facilities; DND for camp hospitals</t>
  </si>
  <si>
    <t>A functioning rural health unit in each of the eight municipalities, and a determination on the two the register carries and the municipalities do not claim; against the 1:20,000 target the area requires eleven</t>
  </si>
  <si>
    <t>Kapalawan and Nabalawag (54,691 residents) first, conditional on Task 3</t>
  </si>
  <si>
    <t>Current DOH-HFSRB licence status for the acute inpatient stock</t>
  </si>
  <si>
    <t>Health Facility Enhancement Program, conditional on registration and licensure; Special Development Fund; Bangsamoro capital transfers</t>
  </si>
  <si>
    <t>Place the unregistered and the self-help facilities on the register.</t>
  </si>
  <si>
    <t>Almost every licence validity date in the register has passed, including those of facilities holding 63 per cent of one province’s beds and the sole Level 2 facility of another. Licensing status is null for the majority of records in three jurisdictions.</t>
  </si>
  <si>
    <t>Registration of the six barangays with no entry — Barungis, Buliok, Bulol, Balong, Macabual, Macasendeg — and a facility-type determination for the three self-help structures; resolution of the Central Labas land claim by the Sangguniang Bayan and the barangay concerned.</t>
  </si>
  <si>
    <t>LDS · §11, TABLE 9</t>
  </si>
  <si>
    <t>DOH-HFSRB current extract, cross-checked against the MOH-BARMM facilities map</t>
  </si>
  <si>
    <t>Station upgrading and the six unregistered barangays</t>
  </si>
  <si>
    <t>The validation programme table has no header row and begins at item 3; items 1 and 2 are missing.</t>
  </si>
  <si>
    <t>Registration and upgrading of the six barangays with a service point and no registration; a facility-type determination and upgrading for the three self-help structures; resolution of the Central Labas land claim</t>
  </si>
  <si>
    <t>Ligawasan and Tugunan (six barangays); Ligawasan and Old Kaabakan (three self-help structures); Kadayangan (one cordoned building)</t>
  </si>
  <si>
    <t>Two tasks of the ninety-day programme are unstated, so the programme cannot be costed or assigned.</t>
  </si>
  <si>
    <t>Barangay development fund; municipal budget; SGADA; Health Facility Enhancement Program once registered</t>
  </si>
  <si>
    <t>D11 sheet — the table is reproduced as it stands.</t>
  </si>
  <si>
    <t>Extend the FHSIS assessment and establish the transmission route.</t>
  </si>
  <si>
    <t>Workforce establishment</t>
  </si>
  <si>
    <t>Denominator conflict</t>
  </si>
  <si>
    <t>Plantilla positions at each rural health unit sized on the headcount at Task 4; a funded FHSIS focal in each of the eight municipalities</t>
  </si>
  <si>
    <t>Assessment of the six unassessed municipalities on the same instrument, and a written statement of the route, format and recipient by which each municipality's return reaches the regional Field Health Services Information System.</t>
  </si>
  <si>
    <t>LDS; BARMM</t>
  </si>
  <si>
    <t>The issuance governing licensure of primary care facilities in a devolved region</t>
  </si>
  <si>
    <t>All eight. Cannot be sized before Task 4 and cannot be funded before Task 1</t>
  </si>
  <si>
    <t>LDS · ANNEX A · §A; BARMM · EXHIBIT 4 · §5</t>
  </si>
  <si>
    <t>MOH-BARMM; the eight municipal health offices</t>
  </si>
  <si>
    <t>Municipal plantilla under Republic Act No. 7160; Bangsamoro subsidy or National Tax Allotment, per Task 1; General Appropriations Act of the Bangsamoro</t>
  </si>
  <si>
    <t>Determines whether accreditation of the Special Geographic Area network is a documentary exercise of months or a construction exercise of years — and whether ₱219 million a year is recoverable in Year 1.</t>
  </si>
  <si>
    <t>Lanao del Sur's Annex A preserves the 1,159-node 2020 model geography; current administrative coverage is 1,164 barangays. Annex A implies 1,159 − 1,024 = 135 barangays with a matched station; the regional volume states 128 covered of 1,164 (11.0 per cent).</t>
  </si>
  <si>
    <t>The barangay denominator drives the construction volumetric for the largest jurisdiction in the series. A seven-barangay difference in the numerator and a five-barangay difference in the denominator are both unresolved.</t>
  </si>
  <si>
    <t>The DBM per-LGU National Tax Allotment annex for Region XIX</t>
  </si>
  <si>
    <t>Measurement and civil registration</t>
  </si>
  <si>
    <t>10_Municipal_Master column Z (live barangays with a facility) against 16_RHU_Standard_and_Coverage; 11_Jurisdiction_Rollup column I.</t>
  </si>
  <si>
    <t>Settles whether eight local government units and 214,703 residents are in the allotment distribution at all, and therefore whether they have a 20 per cent Development Fund.</t>
  </si>
  <si>
    <t>Open — five-barangay crosswalk outstanding</t>
  </si>
  <si>
    <t>FHSIS transmission established for all eight municipalities; referral completion reported quarterly; a determination on where the area's civil registration function sits and a registration campaign delivered on the immunisation visit</t>
  </si>
  <si>
    <t>Department of Budget and Management; Bureau of Local Government Finance</t>
  </si>
  <si>
    <t>Area-wide</t>
  </si>
  <si>
    <t>Low capital cost. MOH-BARMM; Philippine Statistics Authority; Bangsamoro Organic Law Art. V, §2(ss)</t>
  </si>
  <si>
    <t>Arithmetic failure in source</t>
  </si>
  <si>
    <t>BARMM; MDS</t>
  </si>
  <si>
    <t>No health workforce inventory that survives parsing in any jurisdiction</t>
  </si>
  <si>
    <t>BARMM · TABLE 6 · §6; MDS · TABLE 8 · §5.3</t>
  </si>
  <si>
    <t>Ratio strings are stored as headcounts in all four evidence bases. No workforce or HR-density figure from the pipeline is used anywhere in the series.</t>
  </si>
  <si>
    <t>IPHO and MOH-BARMM plantilla and deployment records; physical headcount by cadre and appointment status (field collection)</t>
  </si>
  <si>
    <t>The PhilHealth Konsulta return does not foot. Registered: column sum 717,318 against a stated total of 714,318 (+3,000). First patient encounters: column sum 37,951 against a stated 32,098 (+5,853). SAP-1 paid: column sum 6,253,786 against a stated 6,253,788 (−2).</t>
  </si>
  <si>
    <t>The return is the only source for Konsulta throughput. Until the return is reconciled, no conversion rate computed from it can be relied on, and the regional volume's own arithmetic-failure finding stands.</t>
  </si>
  <si>
    <t>Cold-chain and equipment condition at 353 service locations</t>
  </si>
  <si>
    <t>13_Konsulta_Return — live column sums and variance rows.</t>
  </si>
  <si>
    <t>No procurement quantity is derivable from the field as it stands. In one province the intermediate category was never used once.</t>
  </si>
  <si>
    <t>Open — reconciliation with PhilHealth required</t>
  </si>
  <si>
    <t>Physical verification under the validation programmes — one instrument, one scale, one enumerator per municipality (field collection)</t>
  </si>
  <si>
    <t>Coverage gap</t>
  </si>
  <si>
    <t>The 2024 LGU Health Scorecard raw municipal extract</t>
  </si>
  <si>
    <t>Three jurisdictions are planning on a 2022 picture, and one indicator series — facility-based delivery — ends in 2018.</t>
  </si>
  <si>
    <t>SGA · TABLE 7 · §5.2; BARMM · TABLE 5 · §6</t>
  </si>
  <si>
    <t>DOH Bureau of Local Health Systems Development; MOH-BARMM</t>
  </si>
  <si>
    <t>The Special Geographic Area records zero PhilHealth accreditations of any class against a regional total of 347.</t>
  </si>
  <si>
    <t>Without accreditation the area cannot draw PhilHealth reimbursement, so first-contact capacity already built cannot be financed. The volume states ₱444,926,240 as revenue that cannot be earned.</t>
  </si>
  <si>
    <t>No official land area for two provinces or for the Special Geographic Area</t>
  </si>
  <si>
    <t>12_PhilHealth_Accreditation — SGA column and live column sums.</t>
  </si>
  <si>
    <t>No density, area or facilities-per-square-kilometre figure appears anywhere in the series. Three secondary compilations give three different areas for one province.</t>
  </si>
  <si>
    <t>Confirmed in source; requires accreditation action, not data correction</t>
  </si>
  <si>
    <t>PSA / NAMRIA–Land Management Bureau land-area datafile for the post-2022 PSGC</t>
  </si>
  <si>
    <t>Measurement gap</t>
  </si>
  <si>
    <t>All four jurisdictions</t>
  </si>
  <si>
    <t>No MOH-BARMM issuance on health system integration, and no implementing rules for Bangsamoro Autonomy Act No. 49</t>
  </si>
  <si>
    <t>BARMM · EXHIBIT 6 · §7</t>
  </si>
  <si>
    <t>The Code’s implementing rules were required within three months of effectivity and were not obtained. No Bangsamoro Health Code was located.</t>
  </si>
  <si>
    <t>Referral completion is recorded as zero observations across 57 reporting units. No jurisdiction has a published catchment map.</t>
  </si>
  <si>
    <t>MOH-BARMM numbered administrative orders and memorandum circulars 2024–2026; MILG-BARMM</t>
  </si>
  <si>
    <t>Referral performance cannot be measured at all. Any statement about referral in the five volumes is an inference from structure, not an observation of outcome.</t>
  </si>
  <si>
    <t>D07 sheet — Exhibit 6 reproduced verbatim.</t>
  </si>
  <si>
    <t>Measles case and death counts disaggregated below the undivided province</t>
  </si>
  <si>
    <t>Open — instrument does not yet exist</t>
  </si>
  <si>
    <t>The only provincial breakdown available reports 427 cases and 3 deaths for a province abolished nineteen months earlier, and no figure exists for the Special Geographic Area.</t>
  </si>
  <si>
    <t>MOH-BARMM RESU; DOH Epidemiology Bureau measles-rubella case-based surveillance line lists, on the post-2022 PSGC</t>
  </si>
  <si>
    <t>Record incompleteness</t>
  </si>
  <si>
    <t>SOURCE  ▸  BARMM · ANNEX D · §D · p. 42</t>
  </si>
  <si>
    <t>BARMM · EXHIBIT 5 · §5</t>
  </si>
  <si>
    <t>Cold chain status is not recorded for 353 of 836 records (42.2 per cent); only 115 are recorded functional. Maguindanao del Norte never uses the category 'Partial' once.</t>
  </si>
  <si>
    <t>Cold chain is the binding constraint on immunisation, and the 2024 measles outbreak is the arbitrating event. A 42 per cent unrecorded field cannot support a procurement decision.</t>
  </si>
  <si>
    <t>15_Cold_Chain — live functional and unrecorded shares, and the unaccounted-records check.</t>
  </si>
  <si>
    <t>TITLE AS PRINTED  ▸  The four volumes were built sequentially and each corrected findings in its predecessors. Eleven divergences remain unresolved between them. They are recorded here rather than adjudicated, because resolving them requires a source the consolidation does not hold. Item 2 is load-bearing: it determines whether any jurisdiction in the series can state its leading causes of death.</t>
  </si>
  <si>
    <t>Open — field enumeration required</t>
  </si>
  <si>
    <t>Scope boundary</t>
  </si>
  <si>
    <t>MDN · §4A; MDN · ANNEX A · §A</t>
  </si>
  <si>
    <t>Cotabato City (383,383 residents, 37 barangays, 6 hospitals, 512 beds) is carried in the Annex A table but is not a component LGU of Maguindanao del Norte. The volume's §4A correction removes it from the provincial averages.</t>
  </si>
  <si>
    <t>What one volume states</t>
  </si>
  <si>
    <t>Including the city inflates every provincial per-capita and readiness measure. The regional consolidation excludes it.</t>
  </si>
  <si>
    <t>What another states</t>
  </si>
  <si>
    <t>Resolution required</t>
  </si>
  <si>
    <t>10_Municipal_Master — the row is typed 'Non-component reference' and is excluded from every SUMIFS roll-up on 11_Jurisdiction_Rollup.</t>
  </si>
  <si>
    <t>Resolved in this workbook by row typing</t>
  </si>
  <si>
    <t>The Lanao del Sur barangay base</t>
  </si>
  <si>
    <t>Current coverage tables adopt 1,164 administrative barangays and 128 matched registered stations, yielding 1,036 without a matched station. The accessibility model separately retains 1,159 routeable 2020 demand nodes.</t>
  </si>
  <si>
    <t>Basis conflict</t>
  </si>
  <si>
    <t>The model records five current official barangays absent from the 2020 routeable layer; they require a crosswalk before current model coverage is stated.</t>
  </si>
  <si>
    <t>SGA · ANNEX A · §A; BARMM · TABLE 4 · §5</t>
  </si>
  <si>
    <t>Use 1,164 for current administrative coverage and 1,159 only for the 2020 model. The corrected four-jurisdiction current total is 1,735.</t>
  </si>
  <si>
    <t>Rural health units in the Special Geographic Area are stated on two bases: 9 registered and 6 operating. The implied requirement at 1:20,000 is 11, so the shortfall is 2 on the register basis and 5 on the operating basis.</t>
  </si>
  <si>
    <t>The construction volumetric doubles depending on which basis is adopted.</t>
  </si>
  <si>
    <t>The only ranked cause-of-death table in the series</t>
  </si>
  <si>
    <t>16_RHU_Standard_and_Coverage — the printed cell carries both; the live recomputation uses the register basis carried in 10_Municipal_Master.</t>
  </si>
  <si>
    <t>The Lanao del Sur volume prints a ranked morbidity and mortality table attributed to World Bank (2019), Table 41, p. 113</t>
  </si>
  <si>
    <t>Open — basis must be fixed before allocation</t>
  </si>
  <si>
    <t>The Maguindanao del Sur volume records that the table does not exist at that location — printed p. 113 carries Table 5.22, on reasons for incomplete vaccination — and recommends correction series-wide</t>
  </si>
  <si>
    <t>Inspection of the source document. Until resolved, the series should not use a ranked cause profile anywhere, and §4.1 of this consolidation declines to state one</t>
  </si>
  <si>
    <t>Register conflict</t>
  </si>
  <si>
    <t>SGA · TABLE 6 · §4.2</t>
  </si>
  <si>
    <t>The Lanao del Sur measles burden</t>
  </si>
  <si>
    <t>Two facility registers disagree: the DOH facility register records 68 Special Geographic Area registrations against a municipal enumeration of 66 cleaned service-location records, with different composition by class.</t>
  </si>
  <si>
    <t>The Lanao del Sur volume records 1,300 reported cases and 13 deaths, all in unvaccinated children, as at 2 May 2024</t>
  </si>
  <si>
    <t>Neither register is validated. Facility identity, classification, ownership and licensing remain unreconciled.</t>
  </si>
  <si>
    <t>The Maguindanao del Sur volume records 1,265 cases and 11 deaths for the same province</t>
  </si>
  <si>
    <t>D04 sheet — Table 6 reproduced verbatim.</t>
  </si>
  <si>
    <t>Reconciliation against the MOH-BARMM RESU line list. The difference is immaterial to the argument and material to any published figure</t>
  </si>
  <si>
    <t>Open — registry reconciliation required</t>
  </si>
  <si>
    <t>The GIDA identification issuance</t>
  </si>
  <si>
    <t>The Lanao del Sur volume cites DOH Administrative Order No. 2020-0023 as the GIDA register issuance</t>
  </si>
  <si>
    <t>Workforce</t>
  </si>
  <si>
    <t>The Maguindanao del Norte volume identifies the correct instrument as AO No. 2020-0043 and notes that it is widely circulated under the incorrect filename 2020-0023</t>
  </si>
  <si>
    <t>SGA · §4.7</t>
  </si>
  <si>
    <t>Adoption of AO No. 2020-0043 series-wide. This consolidation uses 2020-0043</t>
  </si>
  <si>
    <t>The workforce cannot be counted from the supplied records.</t>
  </si>
  <si>
    <t>No health human resource volumetric can be derived for the area, so staffing cannot be costed in the two-year programme.</t>
  </si>
  <si>
    <t>The Special Health Fund’s legal basis</t>
  </si>
  <si>
    <t>No workforce table exists in any of the five volumes; there is therefore no workforce domain sheet in this workbook.</t>
  </si>
  <si>
    <t>Earlier volumes in the series attribute the Special Health Fund to the Bangsamoro Local Governance Code</t>
  </si>
  <si>
    <t>Open — evidence gap</t>
  </si>
  <si>
    <t>The Maguindanao del Norte and Maguindanao del Sur volumes record that the phrase appears zero times in Bangsamoro Autonomy Act No. 49; the Fund is created by RA 11223 §20 and the regional authority is BAA 49 §512(II)(c)(8)</t>
  </si>
  <si>
    <t>A correction of record from the Ministry, since the attribution has been adopted in local investment plans (§11.1)</t>
  </si>
  <si>
    <t>Fiscal premise</t>
  </si>
  <si>
    <t>SGA · §5.4</t>
  </si>
  <si>
    <t>The 1:20,000 standard</t>
  </si>
  <si>
    <t>The National Tax Allotment position of the eight municipalities is unresolved, and the volume flags this as conditioning everything else.</t>
  </si>
  <si>
    <t>The Lanao del Sur volume applies 1:20,000 as a facility-count standard and derives a shortfall of 24 rural health units from it</t>
  </si>
  <si>
    <t>Fiscal capacity to sustain any recurrent cost created by the programme is unknown.</t>
  </si>
  <si>
    <t>D06 sheet.</t>
  </si>
  <si>
    <t>The Maguindanao del Norte and Maguindanao del Sur volumes record that the ratio is a physician staffing standard from the DOH Manual and that the facility target is the World Bank’s; the Special Geographic Area volume records the source using the same figure in both senses</t>
  </si>
  <si>
    <t>A Ministry statement of which standard governs its facility programme. The two readings imply different remedies — plantilla against capital outlay</t>
  </si>
  <si>
    <t>Cross-volume divergence</t>
  </si>
  <si>
    <t>Whether BAA 49 §117 was engaged by the 2023–2024 outbreak</t>
  </si>
  <si>
    <t>All</t>
  </si>
  <si>
    <t>The Lanao del Sur volume states that the section — ministerial assumption of control during an epidemic — was engaged by the outbreak</t>
  </si>
  <si>
    <t>BARMM · ANNEX D · §D</t>
  </si>
  <si>
    <t>The Maguindanao del Sur volume records that no invocation is on record</t>
  </si>
  <si>
    <t>The regional volume carries an eleven-row register of divergences between the four jurisdiction volumes, each requiring resolution.</t>
  </si>
  <si>
    <t>A search of Office of the Chief Minister and Ministry issuances for the period. The answer bears on what the Ministry is expected to do in a repeat event</t>
  </si>
  <si>
    <t>The four volumes were built sequentially and each corrected findings in the previous one; unresolved divergences propagate into any consolidated figure.</t>
  </si>
  <si>
    <t>D14 sheet — Annex D reproduced verbatim.</t>
  </si>
  <si>
    <t>The Lanao del Sur physical-access range</t>
  </si>
  <si>
    <t>Open — see Annex D</t>
  </si>
  <si>
    <t>The controlling judgment states a plausible thirty-minute range of 57,348 to 401,675 people beyond the threshold</t>
  </si>
  <si>
    <t>Convention inferred, not stated</t>
  </si>
  <si>
    <t>The lower bound of 57,348 is not derived anywhere in the volume’s own scenario set, whose driving-only scenario gives 13,480 and whose central scenario gives 115,535</t>
  </si>
  <si>
    <t>Field / column</t>
  </si>
  <si>
    <t>Recomputation or withdrawal of the lower bound. This consolidation cites the range with the caveat attached</t>
  </si>
  <si>
    <t>BARMM · TABLE 4 · §5; 05_Assumptions; 16_RHU_Standard_and_Coverage</t>
  </si>
  <si>
    <t>Appears on</t>
  </si>
  <si>
    <t>The rounding convention behind 'units implied by the target' is not stated in any volume. Nearest-integer rounding reproduces the printed 68 / 37 / 41 / 11 exactly; rounding up gives 69 / 38 / 41 / 11 and a regional requirement of 159 rather than 157.</t>
  </si>
  <si>
    <t>iClinicSys availability and uptake in Lanao del Sur</t>
  </si>
  <si>
    <t>Two additional rural health units across the region is a material difference in a construction volumetric, and the convention is an inference of this workbook rather than a statement of the source.</t>
  </si>
  <si>
    <t>The Lanao del Sur volume records provincial iClinicSys uptake as 0 per cent — stated by the Integrated Provincial Health Office as a zero uptake, not a blank — and reports the national electronic medical record as having no uptake in the province</t>
  </si>
  <si>
    <t>05_Assumptions row 5; both conventions are computed side by side on 10_Municipal_Master (columns W and AD) and 16_RHU_Standard_and_Coverage.</t>
  </si>
  <si>
    <t>The Maguindanao del Sur volume’s cross-tabulation of the same MOH-BARMM assessment records Lanao del Sur at 17 of 25 units holding iClinicSys and two using it for FHSIS reporting; the Maguindanao del Norte volume refers to "zero recorded uptake in Lanao del Sur"</t>
  </si>
  <si>
    <t>Basis and source layer</t>
  </si>
  <si>
    <t>Open — convention should be stated explicitly in the volumes</t>
  </si>
  <si>
    <t>Reconciliation of "available" against "in use" in the assessment instrument. On the Lanao del Sur volume’s own figure the regional installed base would be 34 rather than 51</t>
  </si>
  <si>
    <t>Fact, derived or assumption</t>
  </si>
  <si>
    <t>Internal inconsistency</t>
  </si>
  <si>
    <t>The Maguindanao del Norte column of the FHSIS cross-tabulation</t>
  </si>
  <si>
    <t>all sheets</t>
  </si>
  <si>
    <t>LDS · ANNEX A · §A</t>
  </si>
  <si>
    <t>The Maguindanao del Norte volume records its own assessment as covering eleven units, with 5 of 11 holding a policy issuance, 6 of 11 a line-item budget, 6 of 11 a permanent focal person and 11 of 11 holding iClinicSys</t>
  </si>
  <si>
    <t>Five-character code for the source volume: BARMM, LDS, MDN, MDS, SGA.</t>
  </si>
  <si>
    <t>The forty municipal barangay values in Lanao del Sur's Annex A sum to 1,164, but the annex's own PROVINCE row prints 1,159 and its column note states that the column preserves the 1,159-node 2020 model geography. The municipal rows are therefore on current geography while the total is on model geography.</t>
  </si>
  <si>
    <t>The Maguindanao del Sur volume’s cross-tabulation gives 5 of 12, 7 of 12, 6 of 12 and 12 of 12 for the same four items, against an assessed base of 11 stated in its own first row</t>
  </si>
  <si>
    <t>code</t>
  </si>
  <si>
    <t>The province total and the rows beneath it are not on the same frame. Every share computed against the provincial barangay denominator is affected, including the 11.0 per cent first-contact coverage figure carried into the regional volume.</t>
  </si>
  <si>
    <t>Assigned in this workbook.</t>
  </si>
  <si>
    <t>A corrected extract from MOH-BARMM. Table 8 of this consolidation uses the cross-tabulation for comparability across all four jurisdictions and prints the divergence here</t>
  </si>
  <si>
    <t>Metadata</t>
  </si>
  <si>
    <t>11_Jurisdiction_Rollup row 2, columns G to I: printed 1,159 against a live sum of 1,164, variance +5.</t>
  </si>
  <si>
    <t>The NDHS 2022 Bangsamoro weighted and unweighted denominators</t>
  </si>
  <si>
    <t>03_Table_Index, domain sheets</t>
  </si>
  <si>
    <t>98 children and 188 births are weighted denominators in the published tables.</t>
  </si>
  <si>
    <t>The table, exhibit or annex label as printed in the source volume.</t>
  </si>
  <si>
    <t>Definitional divergence</t>
  </si>
  <si>
    <t>180 children and 345 births are the corresponding unweighted cases.</t>
  </si>
  <si>
    <t>MDN; BARMM</t>
  </si>
  <si>
    <t>Use the correct weighted/unweighted labels. For current regional coverage and delivery, use the 2025 NDHS key indicators.</t>
  </si>
  <si>
    <t>text</t>
  </si>
  <si>
    <t>MDN · ANNEX A · §A; BARMM · TABLE 7 · §7</t>
  </si>
  <si>
    <t>Source document.</t>
  </si>
  <si>
    <t>SOURCE  ▸  LDS · ANNEX A · §A · p. 49</t>
  </si>
  <si>
    <t>Fact</t>
  </si>
  <si>
    <t>Section no. / Subsection no.</t>
  </si>
  <si>
    <t>Maguindanao del Norte's Annex A hospital column sums to 6 across the twelve municipalities. Regional Table 7 records 4 hospitals and 2 infirmaries for the province. The annex column appears to combine hospitals and infirmaries; the definition is not stated. The Lanao del Sur and Maguindanao del Sur annexes count hospitals only.</t>
  </si>
  <si>
    <t>02, 03, domain sheets</t>
  </si>
  <si>
    <t>Hospital counts are not comparable across the four volumes, and the regional total of 21 hospitals cannot be reproduced from the annexes, which sum to 23.</t>
  </si>
  <si>
    <t>The numbered section and subsection in which the item sits.</t>
  </si>
  <si>
    <t>11_Jurisdiction_Rollup columns M to O: MDN printed 4 against a live sum of 6; the four-jurisdiction row shows 21 printed against 23 live.</t>
  </si>
  <si>
    <t>Source document body headings.</t>
  </si>
  <si>
    <t>Open — definition must be stated</t>
  </si>
  <si>
    <t>Parser limitation, not a source defect</t>
  </si>
  <si>
    <t>02, 03, locator blocks</t>
  </si>
  <si>
    <t>MDS; SGA; LDS</t>
  </si>
  <si>
    <t>The page number carried by that report's own contents list for the section or subsection in which the item sits.</t>
  </si>
  <si>
    <t>15_Cold_Chain; 16_RHU_Standard_and_Coverage</t>
  </si>
  <si>
    <t>page</t>
  </si>
  <si>
    <t>Several source cells carry a number with a qualifier attached — '63 matched', '9 registered / 6 operating', '1,164 current', '6 (9.1%)'. This workbook parses the leading number for computation and preserves the printed string in an adjacent qualifier column.</t>
  </si>
  <si>
    <t>Source document contents list, as at the export date.</t>
  </si>
  <si>
    <t>The qualifier changes what the number means. A reader taking the parsed value alone would treat a matched-record count as a facility count.</t>
  </si>
  <si>
    <t>Fact, volatile — moves on repagination</t>
  </si>
  <si>
    <t>15_Cold_Chain column K and 16_RHU_Standard_and_Coverage columns L and G carry the printed string verbatim.</t>
  </si>
  <si>
    <t>Resolved in this workbook by qualifier columns</t>
  </si>
  <si>
    <t>10, 11, 14, 16</t>
  </si>
  <si>
    <t>Resident population at the 2024 Census of Population, reference date 1 July 2024.</t>
  </si>
  <si>
    <t>Status of the whole series</t>
  </si>
  <si>
    <t>persons</t>
  </si>
  <si>
    <t>Layer A — Philippine Statistics Authority 2024 Census and PSGC.</t>
  </si>
  <si>
    <t>01_Source_Register; 04_Report_Particulars</t>
  </si>
  <si>
    <t>All five reports declare themselves PROVISIONAL. They establish cleaned service-location baselines, not validated registers of distinct licensed facilities.</t>
  </si>
  <si>
    <t>No figure in this workbook is validated for allocation, procurement or costing.</t>
  </si>
  <si>
    <t>10, 11</t>
  </si>
  <si>
    <t>01_Source_Register column K carries each report's own status statement.</t>
  </si>
  <si>
    <t>Barangay count as carried by the volume's Annex A. Lanao del Sur uses the 1,159-node 2020 model geography.</t>
  </si>
  <si>
    <t>Standing limitation</t>
  </si>
  <si>
    <t>count</t>
  </si>
  <si>
    <t>TITLE AS PRINTED  ▸  Population values reconcile to the PSA 2024 Census provincial total of 1,368,137. Barangay counts in this annex sum to the 1,159 routeable 2020 model geography and must not be presented as the current administrative total; PSA currently lists 1,164 barangays. Shaded rows identify municipalities with no station matched in the project-held register. Empty cells indicate no reported figure, not zero.</t>
  </si>
  <si>
    <t>Layer A — PSA / PSGC.</t>
  </si>
  <si>
    <t>Fact, denominator disputed for LDS</t>
  </si>
  <si>
    <t>Barangays with / without a first-contact facility</t>
  </si>
  <si>
    <t>10, 16</t>
  </si>
  <si>
    <t>Barangays carrying at least one registered first-contact service point. MDN and LDS count registered barangay health stations; MDS counts registered facilities of any type; SGA counts municipally enumerated service points.</t>
  </si>
  <si>
    <t>Layer C — project-held DOH/NHFR facility extract; Layer E — municipal EBDM worksheet enumeration.</t>
  </si>
  <si>
    <t>Fact, definitions not commensurable across volumes</t>
  </si>
  <si>
    <t>10, 11, 16</t>
  </si>
  <si>
    <t>Rural health units as carried by Annex A. For SGA the register basis (9) is used; the operating basis is 6.</t>
  </si>
  <si>
    <t>Layer C — DOH/NHFR extract, cross-checked against Layer E.</t>
  </si>
  <si>
    <t>Fact, basis conflict for SGA</t>
  </si>
  <si>
    <t>10, 14</t>
  </si>
  <si>
    <t>Licensed bed complement of all classes. The Lanao del Sur Annex A carries no bed column; bed data for that province sits on 14_Inpatient_Capacity from Table 6 and Table 6A.</t>
  </si>
  <si>
    <t>Dist</t>
  </si>
  <si>
    <t>beds</t>
  </si>
  <si>
    <t>Layer C — DOH-HFSRB licensing records as held by the project.</t>
  </si>
  <si>
    <t>GIDA %</t>
  </si>
  <si>
    <t>Fully immunised child coverage.</t>
  </si>
  <si>
    <t>per cent</t>
  </si>
  <si>
    <t>Layer B — FHSIS / draft 2024 BARMM LGU Health Scorecard.</t>
  </si>
  <si>
    <t>Facility-based delivery.</t>
  </si>
  <si>
    <t>Layer B — FHSIS / Scorecard; MDS value is a 2018 vintage.</t>
  </si>
  <si>
    <t>Fact, vintage varies</t>
  </si>
  <si>
    <t>TB det %</t>
  </si>
  <si>
    <t>Tuberculosis case notification rate per 100,000 population.</t>
  </si>
  <si>
    <t>PEN %</t>
  </si>
  <si>
    <t>per 100,000</t>
  </si>
  <si>
    <t>Stunt %</t>
  </si>
  <si>
    <t>Layer B — national TB programme returns as carried by the volumes.</t>
  </si>
  <si>
    <t>LHB</t>
  </si>
  <si>
    <t>ESU</t>
  </si>
  <si>
    <t>DRR</t>
  </si>
  <si>
    <t>EBDM</t>
  </si>
  <si>
    <t>Notified cases as a share of expected incident cases.</t>
  </si>
  <si>
    <t>Derived in the source volumes from notification against modelled incidence.</t>
  </si>
  <si>
    <t>Derived in source</t>
  </si>
  <si>
    <t>Adults risk-assessed under the Philippine Package of Essential NCD Interventions.</t>
  </si>
  <si>
    <t>Layer B — FHSIS.</t>
  </si>
  <si>
    <t>Stunting prevalence among children under five.</t>
  </si>
  <si>
    <t>Layer D — survey estimate.</t>
  </si>
  <si>
    <t>Population 2024 divided by rural health units held. Returns 'no RHU recorded' where the unit count is zero.</t>
  </si>
  <si>
    <t>persons per unit</t>
  </si>
  <si>
    <t>Computed in this workbook from columns F and J.</t>
  </si>
  <si>
    <t>Derived — live formula</t>
  </si>
  <si>
    <t>LIVE  RHUs implied at 1:20,000</t>
  </si>
  <si>
    <t>ROUNDUP(population / 20,000). The 1:20,000 figure is a planning target for catchment, not a licensing standard for facilities.</t>
  </si>
  <si>
    <t>units</t>
  </si>
  <si>
    <t>Computed in this workbook.</t>
  </si>
  <si>
    <t>LIVE  RHU shortfall</t>
  </si>
  <si>
    <t>Implied units less units held, floored at zero.</t>
  </si>
  <si>
    <t>Barangays with a first-contact facility divided by barangays.</t>
  </si>
  <si>
    <t>Licensed beds divided by population, multiplied by 1,000.</t>
  </si>
  <si>
    <t>beds per 1,000</t>
  </si>
  <si>
    <t>10, 11, 12, 13, 14, 15, 16</t>
  </si>
  <si>
    <t>The live recomputation less the figure printed in the source. A non-zero variance is a reconciliation item, not a correction.</t>
  </si>
  <si>
    <t>same as the underlying measure</t>
  </si>
  <si>
    <t>LGU · Provincial or area total as annexed · Non-component reference. Only rows typed 'LGU' enter the roll-ups on 11_Jurisdiction_Rollup.</t>
  </si>
  <si>
    <t>category</t>
  </si>
  <si>
    <t>Assigned in this workbook from the annex row labels.</t>
  </si>
  <si>
    <t>Evidence layer A</t>
  </si>
  <si>
    <t>all</t>
  </si>
  <si>
    <t>Census, PSGC and other national statistical frames.</t>
  </si>
  <si>
    <t>Philippine Statistics Authority.</t>
  </si>
  <si>
    <t>Evidence layer B</t>
  </si>
  <si>
    <t>Routine service statistics — FHSIS and the draft 2024 BARMM LGU Health Scorecard.</t>
  </si>
  <si>
    <t>MOH-BARMM.</t>
  </si>
  <si>
    <t>Evidence layer C</t>
  </si>
  <si>
    <t>Facility registers — project-held DOH / NHFR extract and DOH-HFSRB licensing records.</t>
  </si>
  <si>
    <t>Department of Health.</t>
  </si>
  <si>
    <t>Evidence layer D</t>
  </si>
  <si>
    <t>Independent survey measurement — World Bank BARMM household survey and comparable instruments.</t>
  </si>
  <si>
    <t>World Bank.</t>
  </si>
  <si>
    <t>Evidence layer E</t>
  </si>
  <si>
    <t>Municipal EBDM worksheet submissions, BARMM 20260629 package (MDN, LDS, SGA) and the 20260624 package (MDS, earlier cycle).</t>
  </si>
  <si>
    <t>BRIGHT-BARMM EBDM workstream.</t>
  </si>
  <si>
    <t>23/40</t>
  </si>
  <si>
    <t>15/40</t>
  </si>
  <si>
    <t>4/40</t>
  </si>
  <si>
    <t>16/40</t>
  </si>
  <si>
    <t>SOURCE  ▸  LDS · ANNEX B · §B · p. 51</t>
  </si>
  <si>
    <t>TITLE AS PRINTED  ▸  Modeled physical access on the central 30-minute multimodal scenario, the readiness evidence available for each municipality, and the resulting planning tier. Tiers sequence validation and planning; they do not authorize capital construction. Population is the GeoRisk/PSA 2020 modeled base, which is the base on which the model runs; it is not the 2024 census figure used elsewhere in this report.</t>
  </si>
  <si>
    <t>Population 2020</t>
  </si>
  <si>
    <t>Unserved at 30 min</t>
  </si>
  <si>
    <t>Share</t>
  </si>
  <si>
    <t>Readiness evidence available</t>
  </si>
  <si>
    <t>Planning tier</t>
  </si>
  <si>
    <t>Bumbaran / Amai Manabilang</t>
  </si>
  <si>
    <t>EBDM + FHSIS</t>
  </si>
  <si>
    <t>Tier 1 — physical access</t>
  </si>
  <si>
    <t>FHSIS context only</t>
  </si>
  <si>
    <t>No local readiness source</t>
  </si>
  <si>
    <t>Tier 2 — readiness</t>
  </si>
  <si>
    <t>Tier 3 — verification</t>
  </si>
  <si>
    <t>EBDM workshop only</t>
  </si>
  <si>
    <t>57 of 184 supply points credit-eligible</t>
  </si>
  <si>
    <t>16 · 8 · 16</t>
  </si>
  <si>
    <t>SOURCE  ▸  LDS · ANNEX C · §C · p. 53</t>
  </si>
  <si>
    <t>TITLE AS PRINTED  ▸  The following items could not be obtained. Each is recorded with the office from which it should be requested. In a province where no municipality-level health outcome data is available in any public source, the gap register is more appropriately read as a work program for data development.</t>
  </si>
  <si>
    <t>Missing item</t>
  </si>
  <si>
    <t>Why it matters</t>
  </si>
  <si>
    <t>Disease burden</t>
  </si>
  <si>
    <t>FHSIS Annual Report, BARMM ranked morbidity with rates per 100,000, any recent year</t>
  </si>
  <si>
    <t>The only correct primary source for current provincial morbidity. The profile in Table 2 is circa 2016–2018.</t>
  </si>
  <si>
    <t>DOH Freedom of Information portal; MOH-BARMM Health Information Unit</t>
  </si>
  <si>
    <t>BARMM and Lanao del Sur tuberculosis notification, treatment success and drug-resistant enrollment</t>
  </si>
  <si>
    <t>Section 3.3 rests on a national incidence rate applied to a provincial population. Actual notification data would replace the approximation.</t>
  </si>
  <si>
    <t>DOH National TB Control Program; Integrated TB Information System extract via MOH-BARMM</t>
  </si>
  <si>
    <t>BARMM-disaggregated stunting, wasting and underweight, 2023 National Nutrition Survey</t>
  </si>
  <si>
    <t>Malnutrition is named as a priority problem by seven local government units. No regional figure has been published.</t>
  </si>
  <si>
    <t>DOST-FNRI, with the coefficient of variation</t>
  </si>
  <si>
    <t>Current DOH Weekly Disease Surveillance figures for BARMM — dengue, measles, rabies</t>
  </si>
  <si>
    <t>Saguiaran reports increasing dengue, rabies risk and drug-resistant tuberculosis; none can be verified.</t>
  </si>
  <si>
    <t>DOH Epidemiology Bureau</t>
  </si>
  <si>
    <t>Facilities, workforce and financing</t>
  </si>
  <si>
    <t>Current National Health Facility Registry extract for Lanao del Sur, by municipality</t>
  </si>
  <si>
    <t>The register used here is undated and demonstrably incomplete. Task 1 depends on this.</t>
  </si>
  <si>
    <t>DOH-HFSRB; cross-check against the MOH-BARMM facilities map</t>
  </si>
  <si>
    <t>Facility-name-level PhilHealth accreditation roster for Lanao del Sur</t>
  </si>
  <si>
    <t>The returns give counts by province and type only, which cannot be joined to the facility register.</t>
  </si>
  <si>
    <t>PhilHealth Corporate Planning Department or Regional Office</t>
  </si>
  <si>
    <t>PhilHealth BARMM and Lanao del Sur claims volume, benefit payments and Konsulta utilization, CY2022–2025</t>
  </si>
  <si>
    <t>PhilHealth publishes no regional disaggregation. Section 5 rests on a single return.</t>
  </si>
  <si>
    <t>PhilHealth Corporate Planning Department</t>
  </si>
  <si>
    <t>MOH-BARMM or HFEP unit-cost schedules</t>
  </si>
  <si>
    <t>Converts Section 12 from volumetrics into a costed envelope.</t>
  </si>
  <si>
    <t>MOH-BARMM; DOH Health Facility Enhancement Program</t>
  </si>
  <si>
    <t>Provincial health workforce inventory by facility and cadre</t>
  </si>
  <si>
    <t>The workforce sheet in the local evidence base is a parser failure and is not usable. Two source sheets were never ingested.</t>
  </si>
  <si>
    <t>IPHO; recover the unparsed sheets under Task 7</t>
  </si>
  <si>
    <t>Governance and context</t>
  </si>
  <si>
    <t>The full health provisions of Bangsamoro Autonomy Act No. 49</t>
  </si>
  <si>
    <t>Ordinance and executive-order drafting must be against the published instrument, not a summary.</t>
  </si>
  <si>
    <t>Bangsamoro Parliament published text, in full</t>
  </si>
  <si>
    <t>Current Marawi health-sector reconstruction status and IDP health outcomes</t>
  </si>
  <si>
    <t>The health-sector damage figures used here are from 2018. Marawi holds 47 percent of provincial hospital beds.</t>
  </si>
  <si>
    <t>Task Force Bangon Marawi / DHSUD health component; MOH-BARMM; DSWD, IOM and UNHCR for the IDP caseload</t>
  </si>
  <si>
    <t>Any MOH-BARMM regional GIDA designation distinct from the national list</t>
  </si>
  <si>
    <t>GIDA status drives outreach entitlement. Four plausibly remote municipalities record zero isolated barangays.</t>
  </si>
  <si>
    <t>MOH-BARMM; DOH GIDA Information System</t>
  </si>
  <si>
    <t>Reconciliation of the two Lanao del Sur poverty series</t>
  </si>
  <si>
    <t>A 60-point discontinuity between 2015 and 2021 is unexplained and makes the series unusable.</t>
  </si>
  <si>
    <t>PSA Poverty Statistics Division</t>
  </si>
  <si>
    <t>SOURCE  ▸  MDN · ANNEX A · §A · p. 41</t>
  </si>
  <si>
    <t>TITLE AS PRINTED  ▸  All figures from official sources. Population and barangay counts reconcile exactly to the PSA 2024 Census provincial total of 1,124,811 less the City of Cotabato’s 383,383, and to 221 barangays. The City of Cotabato is printed below the provincial row and is excluded from every provincial total in this report. Shaded rows are the eight municipalities with no inpatient bed of any class. An em-dash in the Beds and Diag columns is a measured zero; an em-dash in the glyph columns indicates no reported figure.</t>
  </si>
  <si>
    <t>Diag</t>
  </si>
  <si>
    <t>Water %</t>
  </si>
  <si>
    <t>10/12</t>
  </si>
  <si>
    <t>9/12</t>
  </si>
  <si>
    <t>8/12</t>
  </si>
  <si>
    <t>12/12</t>
  </si>
  <si>
    <t>SOURCE  ▸  MDN · ANNEX B · §B · p. 42</t>
  </si>
  <si>
    <t>TITLE AS PRINTED  ▸  The readiness evidence available for each municipality and the resulting planning tier. Tiers sequence validation and planning; they do not authorise capital construction. Population is the PSA 2024 Census. The tier assignment rests on three official-source variables — unserved barangays, catchment excess above the 20,000 planning standard, and the absence of inpatient and diagnostic capacity — and on none of the derived scores in the workshop record.</t>
  </si>
  <si>
    <t>Unserved barangays</t>
  </si>
  <si>
    <t>Share unserved</t>
  </si>
  <si>
    <t>Diagnostic capacity</t>
  </si>
  <si>
    <t>none</t>
  </si>
  <si>
    <t>Tier 1 — access and capacity</t>
  </si>
  <si>
    <t>EBDM inventory only + FHSIS</t>
  </si>
  <si>
    <t>1 ASC only</t>
  </si>
  <si>
    <t>EBDM (1 record) + FHSIS</t>
  </si>
  <si>
    <t>EBDM, no FHSIS record</t>
  </si>
  <si>
    <t>12 of 12 EBDM · 11 of 12 FHSIS</t>
  </si>
  <si>
    <t>9 Tier 1 · 3 Tier 2</t>
  </si>
  <si>
    <t>SOURCE  ▸  MDN · ANNEX C · §C · p. 43</t>
  </si>
  <si>
    <t>TITLE AS PRINTED  ▸  The following items could not be obtained. Each is recorded with the office from which it should be requested. In a province created in 2022 and not yet carried as a separate reporting unit in most national datasets, the gap register is more appropriately read as a work programme for data development than as a list of omissions.</t>
  </si>
  <si>
    <t>Provincial leading causes of morbidity and mortality</t>
  </si>
  <si>
    <t>Section 3 carries no cause list. The report cannot state what residents of this province die of, and cannot therefore rank a clinical programme against burden.</t>
  </si>
  <si>
    <t>MOH-BARMM Integrated Provincial Health Office annual report; FHSIS morbidity and mortality summary tables; PSA Civil Registration Service provincial extract.</t>
  </si>
  <si>
    <t>Full essential-medicines availability table for BARMM rural health units</t>
  </si>
  <si>
    <t>Section 3.2 establishes that cardiovascular equipment is present and screening is not performed, but cannot state which first-line medicines are stocked.</t>
  </si>
  <si>
    <t>Annexes volume of the World Bank BARMM health financing assessment (Annex J); MOH-BARMM eLMIS extract.</t>
  </si>
  <si>
    <t>2024 LGU Health Scorecard raw municipal extract for the twelve municipalities</t>
  </si>
  <si>
    <t>Every municipal indicator in this report is from the 2022 indicator year or earlier; facility-based delivery is from 2018. The province is planning on a four-year-old picture.</t>
  </si>
  <si>
    <t>MOH-BARMM Health Policy and Standards Development Division; DOH Bureau of Local Health Systems Development.</t>
  </si>
  <si>
    <t>Provincial measles case and death counts, 2023–2025</t>
  </si>
  <si>
    <t>Section 3.5 establishes that the province was named a priority area and cannot state its caseload.</t>
  </si>
  <si>
    <t>DOH Epidemiology Bureau measles-rubella surveillance report; MOH-BARMM IPHO weekly surveillance returns.</t>
  </si>
  <si>
    <t>GIDA barangay determination for Maguindanao del Norte</t>
  </si>
  <si>
    <t>No isolation variable exists anywhere in this report. For a province with coastal municipalities served by sea and upland municipalities reporting four-hour station-to-unit journeys, this is the single largest analytical gap.</t>
  </si>
  <si>
    <t>DOH Bureau of Local Health Systems Development national GIDA masterlist under AO 2020-0043, filtered to PSGC 1908700000; MOH-BARMM Local Health Systems Development Division; eFOI request to DOH.</t>
  </si>
  <si>
    <t>PhilHealth Konsulta registrations, first patient encounters and payments, disaggregated by the post-2022 boundary</t>
  </si>
  <si>
    <t>Section 5.3 cannot compute a conversion rate for this province. This is the report’s highest-priority request and it conditions Section 12, component 2.</t>
  </si>
  <si>
    <t>PhilHealth Regional Office XII / BARMM; formal request from the Provincial Governor to the Regional Vice-President.</t>
  </si>
  <si>
    <t>Current DOH-HFSRB licence status for the twelve hospitals and infirmaries</t>
  </si>
  <si>
    <t>Every licence date in the register has passed. Section 6.1 cannot distinguish a stale extract from a lapsed licence.</t>
  </si>
  <si>
    <t>DOH Health Facilities and Services Regulatory Bureau; MOH-BARMM regulatory unit.</t>
  </si>
  <si>
    <t>Provincial human resources for health inventory by cadre and plantilla status</t>
  </si>
  <si>
    <t>No workforce figure in this report postdates 2017 or refers to the divided province. Matanog reports eighty per cent non-plantilla staffing and no other municipality can be checked against it.</t>
  </si>
  <si>
    <t>IPHO personnel roster; MOH-BARMM HRH database; municipal plantilla of personnel.</t>
  </si>
  <si>
    <t>MOH-BARMM and Health Facility Enhancement Program unit-cost schedules</t>
  </si>
  <si>
    <t>Section 12 publishes volumetrics because it cannot publish costs. With a schedule, costing becomes mechanical.</t>
  </si>
  <si>
    <t>MOH-BARMM Finance and Administrative Service; DOH Health Facility Enhancement Program.</t>
  </si>
  <si>
    <t>A published service-delivery network or health care provider network document for the province</t>
  </si>
  <si>
    <t>Section 6.4 records the absence. Its production is Task 5 of the ninety-day programme rather than a request, but any existing draft should be obtained first.</t>
  </si>
  <si>
    <t>MOH-BARMM Regional Management Council for UHC; IPHO; the signed UHC-BARMM implementing rules of 26 April 2021.</t>
  </si>
  <si>
    <t>Local Health Board constitution and minutes for the twelve municipalities</t>
  </si>
  <si>
    <t>The scorecard records ten of twelve boards as functional; the workshop record documents board status for three, two of them non-functional. The two accounts cannot both be right.</t>
  </si>
  <si>
    <t>Municipal Sanggunian secretariats; DILG-BARMM; Provincial Health Board.</t>
  </si>
  <si>
    <t>Provincial vital statistics: registered live births and deaths, most recent year</t>
  </si>
  <si>
    <t>Section 7.3 reasons from regional aggregates because no provincial series is published.</t>
  </si>
  <si>
    <t>PSA Civil Registration Service / Office of the Civil Registrar General; the twelve municipal civil registrars.</t>
  </si>
  <si>
    <t>Searchable copies of two programme reference documents</t>
  </si>
  <si>
    <t>`EBDM in BARMM.pdf` and `BARMM_Health_Governance_Playbook.pdf` return no extractable text and could not be read. Their contents are not represented anywhere in this report.</t>
  </si>
  <si>
    <t>BRIGHT-BARMM programme document library; re-upload with an optical character recognition layer.</t>
  </si>
  <si>
    <t>SOURCE  ▸  MDS · ANNEX A · § · page not in contents list</t>
  </si>
  <si>
    <t>TITLE AS PRINTED  ▸  Population and barangays: PSA 2024 Census and PSGC. Facilities and beds: project-held DOH/HFSRB register. Health indicators: DOH LGU Health Scorecard, 2022 indicator year except facility-based delivery (2018). ● filed an EBDM workbook; ○ did not file. No GIDA column appears, for the reason at §4.4.</t>
  </si>
  <si>
    <t>Brgy</t>
  </si>
  <si>
    <t>Income class</t>
  </si>
  <si>
    <t>Birth</t>
  </si>
  <si>
    <t>Inf</t>
  </si>
  <si>
    <t>Brgy w/o facility</t>
  </si>
  <si>
    <t>FBD % (2018)</t>
  </si>
  <si>
    <t>No-stockout</t>
  </si>
  <si>
    <t>1st</t>
  </si>
  <si>
    <t>2nd</t>
  </si>
  <si>
    <t>3rd</t>
  </si>
  <si>
    <t>4th</t>
  </si>
  <si>
    <t>18 at 0 / 6 at 100</t>
  </si>
  <si>
    <t>20 of 24</t>
  </si>
  <si>
    <t>SOURCE  ▸  MDS · ANNEX B · § · page not in contents list</t>
  </si>
  <si>
    <t>TITLE AS PRINTED  ▸  How much is known about each municipality, and from which layers. "Official" denotes the census, scorecard and facility register, available for all 24. "Workshop" denotes the EBDM record. "FHSIS" denotes the MOH-BARMM reporting assessment.</t>
  </si>
  <si>
    <t>Official</t>
  </si>
  <si>
    <t>Workshop</t>
  </si>
  <si>
    <t>FHSIS</t>
  </si>
  <si>
    <t>Tier 1 — Complete</t>
  </si>
  <si>
    <t>Ampatuan, Buluan, Datu Abdullah Sangki, Datu Hoffer Ampatuan, Datu Paglas, Datu Piang, Datu Salibo, Datu Saudi-Ampatuan, Datu Unsay, Guindulungan, Mangudadatu, Pagagawan, Pagalungan, Paglat, Pandag, Rajah Buayan, Shariff Aguak, Sultan sa Barongis, Talayan (19)</t>
  </si>
  <si>
    <t>Sufficient for targeting, subject to the numeric-field limits at §2.6</t>
  </si>
  <si>
    <t>Tier 2 — Workshop filed, no FHSIS record</t>
  </si>
  <si>
    <t>Datu Anggal Midtimbang; Mamasapano (2)</t>
  </si>
  <si>
    <t>Mamasapano's unit is filed under Mangudadatu; Datu Anggal Midtimbang has no record. Recoverable by re-keying</t>
  </si>
  <si>
    <t>Tier 3 — Official record only</t>
  </si>
  <si>
    <t>Gen. S.K. Pendatun, Shariff Saydona Mustapha, South Upi (3)</t>
  </si>
  <si>
    <t>113,435 residents, 46 barangays, 50 facilities and one municipal hospital outside the local evidence base. Validation Task 7</t>
  </si>
  <si>
    <t>SOURCE  ▸  MDS · ANNEX C · § · page not in contents list</t>
  </si>
  <si>
    <t>TITLE AS PRINTED  ▸  What is not known, why, and the exact source that would close it. Items are ordered by consequence for decision-making.</t>
  </si>
  <si>
    <t>Exact source required</t>
  </si>
  <si>
    <t>PhilHealth Konsulta registrations, first encounters and payments are not disaggregated from Maguindanao del Norte</t>
  </si>
  <si>
    <t>The province's principal financing indicator is not yet available. The available record provides no conversion rate, no per-resident payment, and no current basis for sizing the Special Health Fund</t>
  </si>
  <si>
    <t>PhilHealth Regional Office: Konsulta return for PSGC 1908800000, 2021–2025, with facility-level accreditation roster and claims</t>
  </si>
  <si>
    <t>No GIDA determination for Maguindanao del Sur barangays</t>
  </si>
  <si>
    <t>No isolation variable is available in this report; the allocation basis rests on two variables rather than three; §24 of RA 11223 prioritizes GIDA deployment against a list the province does not hold</t>
  </si>
  <si>
    <t>DOH Bureau of Local Health Systems Development: GIDA barangay masterlist filtered to PSGC 1908800000</t>
  </si>
  <si>
    <t>No province-level leading causes of death or morbidity</t>
  </si>
  <si>
    <t>The province cannot yet state its own cause-of-death profile; plans therefore rely on national or regional cause profiles</t>
  </si>
  <si>
    <t>PSA Vital Statistics Division special data request: registered deaths by ICD-10 cause, PSGC 1908800000, 2023–2024; MOH-BARMM RESU line lists; IPHO FHSIS M1/M2 consolidation</t>
  </si>
  <si>
    <t>The commodity field has two states</t>
  </si>
  <si>
    <t>Eighteen municipalities report zero availability and six report 100; the essential-medicines line in every municipal plan is sized against a field that may not be a measurement</t>
  </si>
  <si>
    <t>Stock-count at 24 rural health units against a defined tracer list on one date (Validation Task 3)</t>
  </si>
  <si>
    <t>The circulated provincial dashboard represents 2 of 24 municipalities</t>
  </si>
  <si>
    <t>Every provincial average, benchmark and BARMM comparison it carries is a two-municipality statistic; 19 of 21 available workbooks unread</t>
  </si>
  <si>
    <t>Re-run against the Maguindanao del Sur worksheet folder (Validation Task 1)</t>
  </si>
  <si>
    <t>The provincial capital is unlinked in every join</t>
  </si>
  <si>
    <t>10 facility records, 81 supplemental issue records and 8 planning priorities left unlinked, including the province's five ordinance-grade policy blocks</t>
  </si>
  <si>
    <t>Map "SHARIFF AGUAK (CAPITAL)" to PSGC 1908820000 (Validation Task 1)</t>
  </si>
  <si>
    <t>Workforce data is a parser artefact</t>
  </si>
  <si>
    <t>No HR density statement should be made until validation is completed; the published figure of 27.8 skilled staff per 10,000 is derived from a ratio string read as a headcount</t>
  </si>
  <si>
    <t>Re-parse HR ratio strings with a comma-thousands rule from the 21 source workbooks; DOH/MOH plantilla and deployment records</t>
  </si>
  <si>
    <t>Revenue not captured in parsing: ₱15.17 million</t>
  </si>
  <si>
    <t>The published provincial revenue potential of ₱214,250 captures under one per cent of stated values</t>
  </si>
  <si>
    <t>Re-parse with a space-tolerant thousands rule; treat narrative revenue cells as structured input</t>
  </si>
  <si>
    <t>Licence status is null for 151 of 222 facilities; two hospitals carry expired dates</t>
  </si>
  <si>
    <t>The province cannot yet state which of its facilities are currently licensed, including the facility holding 38 per cent of its beds</t>
  </si>
  <si>
    <t>Current DOH-HFSRB licence extract for PSGC 1908800000</t>
  </si>
  <si>
    <t>Municipal facility delivery and skilled birth attendance are 2018 values; municipal budget allocation exists only for 2019</t>
  </si>
  <si>
    <t>No current municipal maternal-service or health-financing data was located for this province</t>
  </si>
  <si>
    <t>DOH LGU Health Scorecard raw municipal extract, 2023–2024</t>
  </si>
  <si>
    <t>No official land area for the province or its municipalities</t>
  </si>
  <si>
    <t>No density, catchment-area or accessibility computation should be made until that source is obtained</t>
  </si>
  <si>
    <t>PSA/NAMRIA–Land Management Bureau land-area datafile for the post-2022 PSGC</t>
  </si>
  <si>
    <t>No measles case data specific to Maguindanao del Sur</t>
  </si>
  <si>
    <t>The province cannot yet state its own outbreak burden; the only provincial breakdown reports the undivided province</t>
  </si>
  <si>
    <t>MOH-BARMM RESU / DOH Epidemiology Bureau measles-rubella case-based surveillance line lists, post-2022 PSGC</t>
  </si>
  <si>
    <t>World Bank annexes A–J not contained in the document held</t>
  </si>
  <si>
    <t>Province-level immunization and thiazide/statin availability detail is cited in the report body but not reproducible</t>
  </si>
  <si>
    <t>World Bank, Preparing for the transition: Supply-side readiness of primary health care in BARMM (2019)</t>
  </si>
  <si>
    <t>No MOH-BARMM issuance on provincial health system integration; no BAA 49 implementing rules; no Bangsamoro Health Code located</t>
  </si>
  <si>
    <t>The regulatory frame for provincial health system integration in this province cannot yet be stated with certainty</t>
  </si>
  <si>
    <t>MOH-BARMM Office of the Minister: numbered administrative orders and memorandum circulars 2024–2026; MILG-BARMM: BAA 49 IRR</t>
  </si>
  <si>
    <t>No MDS provincial health profile or IPHO annual report; MOH-BARMM data platform is credential-gated</t>
  </si>
  <si>
    <t>No provincial self-account was located against which this report can be checked</t>
  </si>
  <si>
    <t>Integrated Provincial Health Office, Buluan: annual report and provincial health profile; MOH-BARMM Planning Division</t>
  </si>
  <si>
    <t>PhilHealth's published BARMM Konsulta table contains arithmetic inconsistencies</t>
  </si>
  <si>
    <t>Registrations exceed the stated total by 3,000 and first encounters by 5,853 (18 per cent); any regional total quoted from it should be treated with caution</t>
  </si>
  <si>
    <t>PhilHealth: corrected annex</t>
  </si>
  <si>
    <t>SOURCE  ▸  SGA · ANNEX A · § · page not in contents list</t>
  </si>
  <si>
    <t>TITLE AS PRINTED  ▸  Municipal master table, eight municipalities</t>
  </si>
  <si>
    <t>Bgy</t>
  </si>
  <si>
    <t>Bgy w/ point</t>
  </si>
  <si>
    <t>Bgy reg.</t>
  </si>
  <si>
    <t>Points</t>
  </si>
  <si>
    <t>RHU (own)</t>
  </si>
  <si>
    <t>RHU (reg.)</t>
  </si>
  <si>
    <t>Accred.</t>
  </si>
  <si>
    <t>Equip. %</t>
  </si>
  <si>
    <t>Composite</t>
  </si>
  <si>
    <t>Catchment</t>
  </si>
  <si>
    <t>vs census</t>
  </si>
  <si>
    <t>Revenue stated ₱</t>
  </si>
  <si>
    <t>Map rows H/M/L</t>
  </si>
  <si>
    <t>Plans</t>
  </si>
  <si>
    <t>2/6/0</t>
  </si>
  <si>
    <t>6/2/0</t>
  </si>
  <si>
    <t>6/0/0</t>
  </si>
  <si>
    <t>3/5/0</t>
  </si>
  <si>
    <t>8/0/0</t>
  </si>
  <si>
    <t>8/2/1</t>
  </si>
  <si>
    <t>47/17/1</t>
  </si>
  <si>
    <t>SOURCE  ▸  SGA · ANNEX B · § · page not in contents list</t>
  </si>
  <si>
    <t>TITLE AS PRINTED  ▸  Municipality structural completion and planning tiers</t>
  </si>
  <si>
    <t>Structural absence</t>
  </si>
  <si>
    <t>Evidence defect</t>
  </si>
  <si>
    <t>Externally assessed</t>
  </si>
  <si>
    <t>First action</t>
  </si>
  <si>
    <t>No rural health unit reported; no functional cold chain anywhere</t>
  </si>
  <si>
    <t>Revenue computed without the 60% factor</t>
  </si>
  <si>
    <t>No</t>
  </si>
  <si>
    <t>Tier 1 — structural completion</t>
  </si>
  <si>
    <t>Task 3 inspection of the registered unit at Manarapan</t>
  </si>
  <si>
    <t>No rural health unit reported; longest referral median in the area (120 min)</t>
  </si>
  <si>
    <t>Six facilities with no cold-chain entry; revenue computed without the 60% factor</t>
  </si>
  <si>
    <t>Yes — “No report”</t>
  </si>
  <si>
    <t>Task 3 inspection of the registered unit at Kudarangan</t>
  </si>
  <si>
    <t>Three barangays with no registration — Barungis, Buliok, Bulol; one self-help structure</t>
  </si>
  <si>
    <t>None material. Catchment reconciles exactly to census</t>
  </si>
  <si>
    <t>Task 6 registration of the three barangays</t>
  </si>
  <si>
    <t>Three barangays with no registration — Balong, Macabual, Macasendeg</t>
  </si>
  <si>
    <t>Duplicate workbook resolved at parse; lowest equipment readiness in the area (62.5%)</t>
  </si>
  <si>
    <t>No functional cold chain anywhere; two self-help structures</t>
  </si>
  <si>
    <t>Catchment 2.16× census; revenue computed without the 60% factor</t>
  </si>
  <si>
    <t>Tier 2 — equipment</t>
  </si>
  <si>
    <t>Component 2 cold-chain establishment</t>
  </si>
  <si>
    <t>No functional cold chain anywhere; largest barangay count in the area</t>
  </si>
  <si>
    <t>Human-resource field records ratios as headcounts; density blank; completeness 86.9%</t>
  </si>
  <si>
    <t>Register carries two rural health units, the municipality claims one</t>
  </si>
  <si>
    <t>Catchment 2.21× census — the largest overstatement in the area</t>
  </si>
  <si>
    <t>Task 4 correction of the rural health unit catchment record</t>
  </si>
  <si>
    <t>One completed station cordoned under a land claim (Central Labas)</t>
  </si>
  <si>
    <t>Catchment 2.04× census; all eight revenue records dropped at parse</t>
  </si>
  <si>
    <t>Task 4 correction, and resolution of the land claim</t>
  </si>
  <si>
    <t>2 municipalities with no rural health unit; 6 barangays unregistered; 3 municipalities with no cold chain</t>
  </si>
  <si>
    <t>Catchment 1.37× census; revenue method inconsistent in 6 of 8</t>
  </si>
  <si>
    <t>4 · 2 · 2</t>
  </si>
  <si>
    <t>Tasks 3, 4 and 6</t>
  </si>
  <si>
    <t>SOURCE  ▸  SGA · ANNEX C · § · page not in contents list</t>
  </si>
  <si>
    <t>TITLE AS PRINTED  ▸  Evidence gap register</t>
  </si>
  <si>
    <t>MEASUREMENT, FINANCING DATA AND DENOMINATORS</t>
  </si>
  <si>
    <t>PhilHealth data disaggregated to the Special Geographic Area — registered members, Konsulta registrations, first patient encounters, amounts paid, accredited facilities</t>
  </si>
  <si>
    <t>Highest priority. The area does not appear in PhilHealth's July 2024 return and it is not stated where its 214,703 members are counted. Without it, the entire financing analysis rests on the municipalities' self-report.</t>
  </si>
  <si>
    <t>Philippine Health Insurance Corporation, Corporate Planning and the regional office serving BARMM; filtered to PSGC 1999901000–1999908000</t>
  </si>
  <si>
    <t>GIDA classification for the 63 barangays</t>
  </si>
  <si>
    <t>The isolation variable used in every other diagnostic in this series is unavailable here, so the allocation basis at §12.3 rests on three variables rather than four. The one survey to reach the territory recorded 0 per cent of its sample barangays as GIDA, which is implausible for a delta territory.</t>
  </si>
  <si>
    <t>DOH Bureau of Local Health Systems Development; GIDA Information System, filtered to PSGC 1999900000</t>
  </si>
  <si>
    <t>Province-level and municipal causes of death, 2024–2026</t>
  </si>
  <si>
    <t>No cause profile exists for a population of 214,703. Without it, no clinical priority in this report can be ranked against another on burden.</t>
  </si>
  <si>
    <t>Philippine Statistics Authority, Vital Statistics Division — special data request</t>
  </si>
  <si>
    <t>World Bank BARMM household survey microdata for the North Cotabato stratum, with the sample barangay list and the sampling frame clarified</t>
  </si>
  <si>
    <t>The only measurement of the population. Its published frame row describes Cotabato Province rather than the 63 barangays, so it cannot be established that the stratum measures the area.</t>
  </si>
  <si>
    <t>World Bank Philippines Health, Nutrition and Population team</t>
  </si>
  <si>
    <t>FHSIS assessment for the six unassessed municipalities</t>
  </si>
  <si>
    <t>Every statement in this report about the area's reporting apparatus rests on two municipalities holding 21 per cent of the population.</t>
  </si>
  <si>
    <t>Ministry of Health–BARMM, Health Information Management</t>
  </si>
  <si>
    <t>FACILITIES, WORKFORCE AND FISCAL REGIME</t>
  </si>
  <si>
    <t>Department of Budget and Management FY2027 National Tax Allotment per-local-government-unit annex, Region XIX</t>
  </si>
  <si>
    <t>Settles the fiscal regime. The assessment at §5.4 rests on the text of the budget memoranda, not on the annexes. Every recurrent cost in Section 12 depends on the answer.</t>
  </si>
  <si>
    <t>Current DOH-HFSRB licence status for the two private birthing homes and the nine registered rural health units</t>
  </si>
  <si>
    <t>The only licensed facilities in the area carry licence dates that have passed, and licensing status is null for 64 of 68 registrations.</t>
  </si>
  <si>
    <t>DOH Health Facilities and Services Regulatory Bureau</t>
  </si>
  <si>
    <t>The issuance governing licensure of primary care facilities, and the licensing authority in a devolved region</t>
  </si>
  <si>
    <t>Determines whether accreditation is a documentary exercise of months or a construction exercise of years. The municipalities identify the absence of a licence as the binding constraint; the available secondary source records that rural health units historically required none.</t>
  </si>
  <si>
    <t>DOH-HFSRB; Ministry of Health–BARMM; Office of the Chief Minister</t>
  </si>
  <si>
    <t>Asset transfer and ownership records for the eight new municipal rural health units and the legacy Pikit Rural Health Unit</t>
  </si>
  <si>
    <t>Eight of the nine registered rural health units carry no ownership subclassification. An unresolved ownership record obstructs licensure, accreditation, capital works and insurance.</t>
  </si>
  <si>
    <t>MILG-BARMM; DOH-HFSRB; Provincial Government of Cotabato</t>
  </si>
  <si>
    <t>Physical workforce headcount by cadre, appointment status and facility</t>
  </si>
  <si>
    <t>No workforce figure is publishable from the present evidence base, and no plantilla request from the area can be sized without one.</t>
  </si>
  <si>
    <t>The eight municipal health offices, through MOH-BARMM</t>
  </si>
  <si>
    <t>No peso amount appears in this report. Costing becomes mechanical once schedules are supplied.</t>
  </si>
  <si>
    <t>Ministry of Health–BARMM; DOH Health Facility Enhancement Program</t>
  </si>
  <si>
    <t>The annual quantum, appropriation basis and duration of the Bangsamoro subsidy under Bangsamoro Autonomy Acts Nos. 41–48</t>
  </si>
  <si>
    <t>Whether the subsidy can lawfully fund plantilla positions and multi-year commitments determines what the two-year programme may commit to.</t>
  </si>
  <si>
    <t>Bangsamoro Treasury; Bangsamoro Parliament, Committee on Finance</t>
  </si>
  <si>
    <t>GOVERNANCE AND CONTEXT</t>
  </si>
  <si>
    <t>Signed texts of Bangsamoro Autonomy Acts Nos. 41–48, with metes and bounds</t>
  </si>
  <si>
    <t>The Official Gazette landing pages for two of the acts render the municipality names differently from the Parliament's register (§13.3).</t>
  </si>
  <si>
    <t>Bangsamoro Official Gazette; Bangsamoro Parliament</t>
  </si>
  <si>
    <t>The instrument creating the Special Geographic Area Development Authority and defining its powers over health</t>
  </si>
  <si>
    <t>One of the three candidate bodies for the province-level health functions the Universal Health Care Act assumes.</t>
  </si>
  <si>
    <t>Office of the Chief Minister; SGADA</t>
  </si>
  <si>
    <t>A legal opinion on which body performs province-level health functions for the Special Geographic Area</t>
  </si>
  <si>
    <t>Determines who holds a Special Health Fund, who signs a network contracting agreement and who owns a facility built with regional capital (§9, observation 1).</t>
  </si>
  <si>
    <t>Bangsamoro Attorney General; Office of the Chief Minister</t>
  </si>
  <si>
    <t>Civil registration: which registrar holds the area's records, and registered births and deaths 2024–2026</t>
  </si>
  <si>
    <t>Establishes the denominators for every vital rate. The power sits with the Bangsamoro Government and requires no national action to exercise (§7.3).</t>
  </si>
  <si>
    <t>Philippine Statistics Authority; MILG-BARMM; the eight Local Civil Registrars</t>
  </si>
  <si>
    <t>Verbatim text of Article XV of the Bangsamoro Organic Law (2018)</t>
  </si>
  <si>
    <t>Not retrieved from a primary source and therefore not quoted anywhere in this report.</t>
  </si>
  <si>
    <t>Official Gazette of the Republic of the Philippines, Vol. 114</t>
  </si>
  <si>
    <t>Flood exposure and displacement records disaggregated to the eight municipalities, September 2025 and July 2026</t>
  </si>
  <si>
    <t>Six of the eight municipalities were named in the July 2026 displacement reporting. Referral reliability and facility siting both depend on the exposure map.</t>
  </si>
  <si>
    <t>Bangsamoro Rapid Emergency Action on Disaster Incidence; NDRRMC; IOM Displacement Tracking Matrix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</si>
</sst>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0.##"/>
  </numFmts>
  <fonts count="19">
    <font>
      <sz val="11.0"/>
      <color theme="1"/>
      <name val="Calibri"/>
      <scheme val="minor"/>
    </font>
    <font>
      <b/>
      <sz val="13.0"/>
      <color rgb="FF1F3864"/>
      <name val="Arial"/>
    </font>
    <font>
      <b/>
      <sz val="9.0"/>
      <color rgb="FFFFFFFF"/>
      <name val="Arial"/>
    </font>
    <font>
      <sz val="10.0"/>
      <color theme="1"/>
      <name val="Arial"/>
    </font>
    <font>
      <sz val="10.0"/>
      <color rgb="FF1F3864"/>
      <name val="Arial"/>
    </font>
    <font>
      <b/>
      <sz val="10.0"/>
      <color rgb="FF1F3864"/>
      <name val="Arial"/>
    </font>
    <font>
      <sz val="10.0"/>
      <color rgb="FF000000"/>
      <name val="Arial"/>
    </font>
    <font>
      <sz val="9.0"/>
      <color theme="1"/>
      <name val="Arial"/>
    </font>
    <font>
      <u/>
      <sz val="9.0"/>
      <color rgb="FF0563C1"/>
      <name val="Arial"/>
    </font>
    <font>
      <b/>
      <sz val="12.0"/>
      <color rgb="FF1F3864"/>
      <name val="Arial"/>
    </font>
    <font>
      <b/>
      <sz val="10.0"/>
      <color rgb="FF0000FF"/>
      <name val="Arial"/>
    </font>
    <font>
      <b/>
      <sz val="9.0"/>
      <color rgb="FF7F6000"/>
      <name val="Arial"/>
    </font>
    <font>
      <b/>
      <sz val="9.0"/>
      <color theme="1"/>
      <name val="Arial"/>
    </font>
    <font>
      <b/>
      <sz val="11.0"/>
      <color rgb="FF1F3864"/>
      <name val="Arial"/>
    </font>
    <font>
      <i/>
      <sz val="9.0"/>
      <color theme="1"/>
      <name val="Arial"/>
    </font>
    <font>
      <sz val="11.0"/>
      <color theme="1"/>
      <name val="Calibri"/>
    </font>
    <font>
      <i/>
      <sz val="9.0"/>
      <color rgb="FF7F6000"/>
      <name val="Arial"/>
    </font>
    <font>
      <color theme="1"/>
      <name val="Calibri"/>
      <scheme val="minor"/>
    </font>
    <font>
      <i/>
      <sz val="8.0"/>
      <color rgb="FF595959"/>
      <name val="Arial"/>
    </font>
  </fonts>
  <fills count="8">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FFF00"/>
        <bgColor rgb="FFFFFF00"/>
      </patternFill>
    </fill>
    <fill>
      <patternFill patternType="solid">
        <fgColor rgb="FFD9E2F3"/>
        <bgColor rgb="FFD9E2F3"/>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2" fillId="3" fontId="6" numFmtId="0" xfId="0" applyAlignment="1" applyBorder="1" applyFill="1" applyFont="1">
      <alignment shrinkToFit="0" vertical="top" wrapText="1"/>
    </xf>
    <xf borderId="0" fillId="0" fontId="7" numFmtId="0" xfId="0" applyAlignment="1" applyFont="1">
      <alignment shrinkToFit="0" vertical="top" wrapText="1"/>
    </xf>
    <xf borderId="2" fillId="4" fontId="6" numFmtId="0" xfId="0" applyAlignment="1" applyBorder="1" applyFill="1" applyFont="1">
      <alignment shrinkToFit="0" vertical="top" wrapText="1"/>
    </xf>
    <xf borderId="2" fillId="5" fontId="6" numFmtId="0" xfId="0" applyAlignment="1" applyBorder="1" applyFill="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bottom" wrapText="0"/>
    </xf>
    <xf borderId="1" fillId="0" fontId="7" numFmtId="0" xfId="0" applyAlignment="1" applyBorder="1" applyFont="1">
      <alignment shrinkToFit="0" vertical="top" wrapText="1"/>
    </xf>
    <xf borderId="1" fillId="6" fontId="10" numFmtId="0" xfId="0" applyAlignment="1" applyBorder="1" applyFill="1" applyFont="1">
      <alignment shrinkToFit="0" vertical="top" wrapText="1"/>
    </xf>
    <xf borderId="1" fillId="0" fontId="7" numFmtId="3" xfId="0" applyAlignment="1" applyBorder="1" applyFont="1" applyNumberFormat="1">
      <alignment shrinkToFit="0" vertical="top" wrapText="1"/>
    </xf>
    <xf borderId="1" fillId="3" fontId="7" numFmtId="164" xfId="0" applyAlignment="1" applyBorder="1" applyFont="1" applyNumberFormat="1">
      <alignment shrinkToFit="0" vertical="top" wrapText="1"/>
    </xf>
    <xf borderId="2" fillId="3" fontId="7" numFmtId="0" xfId="0" applyAlignment="1" applyBorder="1" applyFont="1">
      <alignment shrinkToFit="0" vertical="top" wrapText="1"/>
    </xf>
    <xf borderId="1" fillId="3" fontId="7" numFmtId="0" xfId="0" applyAlignment="1" applyBorder="1" applyFont="1">
      <alignment shrinkToFit="0" vertical="top" wrapText="1"/>
    </xf>
    <xf borderId="1" fillId="3" fontId="7" numFmtId="165" xfId="0" applyAlignment="1" applyBorder="1" applyFont="1" applyNumberFormat="1">
      <alignment shrinkToFit="0" vertical="top" wrapText="1"/>
    </xf>
    <xf borderId="1" fillId="3" fontId="7" numFmtId="2" xfId="0" applyAlignment="1" applyBorder="1" applyFont="1" applyNumberFormat="1">
      <alignment shrinkToFit="0" vertical="top" wrapText="1"/>
    </xf>
    <xf borderId="0" fillId="0" fontId="11" numFmtId="0" xfId="0" applyAlignment="1" applyFont="1">
      <alignment shrinkToFit="0" vertical="bottom" wrapText="0"/>
    </xf>
    <xf borderId="0" fillId="0" fontId="12" numFmtId="0" xfId="0" applyAlignment="1" applyFont="1">
      <alignment shrinkToFit="0" vertical="top" wrapText="1"/>
    </xf>
    <xf borderId="0" fillId="0" fontId="13" numFmtId="0" xfId="0" applyAlignment="1" applyFont="1">
      <alignment shrinkToFit="0" vertical="bottom" wrapText="0"/>
    </xf>
    <xf borderId="0" fillId="0" fontId="14" numFmtId="0" xfId="0" applyAlignment="1" applyFont="1">
      <alignment shrinkToFit="0" vertical="bottom" wrapText="0"/>
    </xf>
    <xf borderId="2" fillId="4" fontId="11" numFmtId="0" xfId="0" applyAlignment="1" applyBorder="1" applyFont="1">
      <alignment shrinkToFit="0" vertical="bottom" wrapText="0"/>
    </xf>
    <xf borderId="2" fillId="4" fontId="15" numFmtId="0" xfId="0" applyAlignment="1" applyBorder="1" applyFont="1">
      <alignment shrinkToFit="0" vertical="bottom" wrapText="0"/>
    </xf>
    <xf borderId="2" fillId="4" fontId="16" numFmtId="0" xfId="0" applyAlignment="1" applyBorder="1" applyFont="1">
      <alignment shrinkToFit="0" vertical="bottom" wrapText="0"/>
    </xf>
    <xf borderId="0" fillId="0" fontId="7" numFmtId="3" xfId="0" applyAlignment="1" applyFont="1" applyNumberFormat="1">
      <alignment shrinkToFit="0" vertical="top" wrapText="1"/>
    </xf>
    <xf borderId="2" fillId="3" fontId="7" numFmtId="10" xfId="0" applyAlignment="1" applyBorder="1" applyFont="1" applyNumberFormat="1">
      <alignment shrinkToFit="0" vertical="top" wrapText="1"/>
    </xf>
    <xf borderId="2" fillId="3" fontId="7" numFmtId="165" xfId="0" applyAlignment="1" applyBorder="1" applyFont="1" applyNumberFormat="1">
      <alignment shrinkToFit="0" vertical="top" wrapText="1"/>
    </xf>
    <xf borderId="2" fillId="3" fontId="7" numFmtId="4" xfId="0" applyAlignment="1" applyBorder="1" applyFont="1" applyNumberFormat="1">
      <alignment shrinkToFit="0" vertical="top" wrapText="1"/>
    </xf>
    <xf borderId="2" fillId="3" fontId="7" numFmtId="3" xfId="0" applyAlignment="1" applyBorder="1" applyFont="1" applyNumberFormat="1">
      <alignment shrinkToFit="0" vertical="top" wrapText="1"/>
    </xf>
    <xf borderId="0" fillId="0" fontId="7" numFmtId="10" xfId="0" applyAlignment="1" applyFont="1" applyNumberFormat="1">
      <alignment shrinkToFit="0" vertical="top" wrapText="1"/>
    </xf>
    <xf borderId="0" fillId="0" fontId="7" numFmtId="165" xfId="0" applyAlignment="1" applyFont="1" applyNumberFormat="1">
      <alignment shrinkToFit="0" vertical="top" wrapText="1"/>
    </xf>
    <xf borderId="0" fillId="0" fontId="7" numFmtId="4" xfId="0" applyAlignment="1" applyFont="1" applyNumberFormat="1">
      <alignment shrinkToFit="0" vertical="top" wrapText="1"/>
    </xf>
    <xf borderId="0" fillId="0" fontId="17" numFmtId="0" xfId="0" applyFont="1"/>
    <xf borderId="2" fillId="3" fontId="15" numFmtId="0" xfId="0" applyAlignment="1" applyBorder="1" applyFont="1">
      <alignment shrinkToFit="0" vertical="bottom" wrapText="0"/>
    </xf>
    <xf borderId="0" fillId="0" fontId="15" numFmtId="0" xfId="0" applyAlignment="1" applyFont="1">
      <alignment shrinkToFit="0" vertical="bottom" wrapText="0"/>
    </xf>
    <xf borderId="2" fillId="4" fontId="7" numFmtId="0" xfId="0" applyAlignment="1" applyBorder="1" applyFont="1">
      <alignment shrinkToFit="0" vertical="top" wrapText="1"/>
    </xf>
    <xf borderId="1" fillId="2" fontId="7" numFmtId="0" xfId="0" applyAlignment="1" applyBorder="1" applyFont="1">
      <alignment shrinkToFit="0" vertical="top" wrapText="1"/>
    </xf>
    <xf borderId="1" fillId="7" fontId="12" numFmtId="0" xfId="0" applyAlignment="1" applyBorder="1" applyFill="1" applyFont="1">
      <alignment shrinkToFit="0" vertical="top" wrapText="1"/>
    </xf>
    <xf borderId="0" fillId="0" fontId="18" numFmtId="0" xfId="0" applyAlignment="1" applyFont="1">
      <alignment shrinkToFit="0" vertical="top" wrapText="1"/>
    </xf>
    <xf borderId="1" fillId="0" fontId="7" numFmtId="166" xfId="0" applyAlignment="1" applyBorder="1" applyFont="1" applyNumberFormat="1">
      <alignment shrinkToFit="0" vertical="top" wrapText="1"/>
    </xf>
    <xf borderId="1" fillId="7" fontId="12" numFmtId="166" xfId="0" applyAlignment="1" applyBorder="1" applyFont="1" applyNumberFormat="1">
      <alignment shrinkToFit="0" vertical="top" wrapText="1"/>
    </xf>
    <xf borderId="1" fillId="5"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dzIeIl6jTtxzQXwrF24ZUHT6uOuRUBZV8E55xVY0pFU/edit" TargetMode="External"/><Relationship Id="rId2" Type="http://schemas.openxmlformats.org/officeDocument/2006/relationships/hyperlink" Target="https://docs.google.com/document/d/1iZhI2yG39xlDHiQUGLeSOtYpXfam9joZxB5eLtAqRU0/edit" TargetMode="External"/><Relationship Id="rId3" Type="http://schemas.openxmlformats.org/officeDocument/2006/relationships/hyperlink" Target="https://docs.google.com/document/d/1JLHwqdyuaFspWyMZVIoNMDLXeGYt1dX5ot2H6V5AST4/edit" TargetMode="External"/><Relationship Id="rId4" Type="http://schemas.openxmlformats.org/officeDocument/2006/relationships/hyperlink" Target="https://docs.google.com/document/d/1hd1i9nx9ABMeMfDunmPezHI4grylzYzKH7RTHT2HG7Q/edit" TargetMode="External"/><Relationship Id="rId5" Type="http://schemas.openxmlformats.org/officeDocument/2006/relationships/hyperlink" Target="https://docs.google.com/document/d/1sc7EG9QPVDd5x_zTKnJbfOmBXOYgAdCbretmVNW1PE0/edit"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sheetViews>
  <sheetFormatPr customHeight="1" defaultColWidth="14.43" defaultRowHeight="15.0"/>
  <cols>
    <col customWidth="1" min="1" max="1" width="30.0"/>
    <col customWidth="1" min="2" max="2" width="118.0"/>
    <col customWidth="1" min="3" max="26" width="8.71"/>
  </cols>
  <sheetData>
    <row r="1">
      <c r="A1" s="1" t="s">
        <v>0</v>
      </c>
      <c r="B1" s="3"/>
    </row>
    <row r="2">
      <c r="A2" s="4"/>
      <c r="B2" s="3"/>
    </row>
    <row r="3">
      <c r="A3" s="4"/>
      <c r="B3" s="3"/>
    </row>
    <row r="4">
      <c r="A4" s="5" t="s">
        <v>21</v>
      </c>
      <c r="B4" s="3"/>
    </row>
    <row r="5">
      <c r="A5" s="6" t="s">
        <v>26</v>
      </c>
      <c r="B5" s="3" t="s">
        <v>28</v>
      </c>
    </row>
    <row r="6">
      <c r="A6" s="7" t="s">
        <v>32</v>
      </c>
      <c r="B6" s="3" t="s">
        <v>37</v>
      </c>
    </row>
    <row r="7">
      <c r="A7" s="9" t="s">
        <v>41</v>
      </c>
      <c r="B7" s="3" t="s">
        <v>49</v>
      </c>
    </row>
    <row r="8">
      <c r="A8" s="10" t="s">
        <v>50</v>
      </c>
      <c r="B8" s="3" t="s">
        <v>52</v>
      </c>
    </row>
    <row r="9">
      <c r="A9" s="4"/>
      <c r="B9" s="3"/>
    </row>
    <row r="10">
      <c r="A10" s="5" t="s">
        <v>55</v>
      </c>
      <c r="B10" s="3"/>
    </row>
    <row r="11">
      <c r="A11" s="6" t="s">
        <v>59</v>
      </c>
      <c r="B11" s="3" t="s">
        <v>61</v>
      </c>
    </row>
    <row r="12">
      <c r="A12" s="6" t="s">
        <v>62</v>
      </c>
      <c r="B12" s="3" t="s">
        <v>64</v>
      </c>
    </row>
    <row r="13">
      <c r="A13" s="6" t="s">
        <v>65</v>
      </c>
      <c r="B13" s="3" t="s">
        <v>66</v>
      </c>
    </row>
    <row r="14">
      <c r="A14" s="6" t="s">
        <v>68</v>
      </c>
      <c r="B14" s="3" t="s">
        <v>69</v>
      </c>
    </row>
    <row r="15">
      <c r="A15" s="6" t="s">
        <v>71</v>
      </c>
      <c r="B15" s="3" t="s">
        <v>74</v>
      </c>
    </row>
    <row r="16">
      <c r="A16" s="6" t="s">
        <v>75</v>
      </c>
      <c r="B16" s="3" t="s">
        <v>77</v>
      </c>
    </row>
    <row r="17">
      <c r="A17" s="6" t="s">
        <v>78</v>
      </c>
      <c r="B17" s="3" t="s">
        <v>80</v>
      </c>
    </row>
    <row r="18" ht="15.75" customHeight="1">
      <c r="A18" s="6" t="s">
        <v>81</v>
      </c>
      <c r="B18" s="3" t="s">
        <v>84</v>
      </c>
    </row>
    <row r="19" ht="15.75" customHeight="1">
      <c r="A19" s="6" t="s">
        <v>86</v>
      </c>
      <c r="B19" s="3" t="s">
        <v>87</v>
      </c>
    </row>
    <row r="20" ht="15.75" customHeight="1">
      <c r="A20" s="6" t="s">
        <v>89</v>
      </c>
      <c r="B20" s="3" t="s">
        <v>90</v>
      </c>
    </row>
    <row r="21" ht="15.75" customHeight="1">
      <c r="A21" s="4"/>
      <c r="B21" s="3"/>
    </row>
    <row r="22" ht="15.75" customHeight="1">
      <c r="A22" s="5" t="s">
        <v>92</v>
      </c>
      <c r="B22" s="3"/>
    </row>
    <row r="23" ht="15.75" customHeight="1">
      <c r="A23" s="6" t="s">
        <v>96</v>
      </c>
      <c r="B23" s="3" t="s">
        <v>97</v>
      </c>
    </row>
    <row r="24" ht="15.75" customHeight="1">
      <c r="A24" s="6" t="s">
        <v>102</v>
      </c>
      <c r="B24" s="3" t="s">
        <v>103</v>
      </c>
    </row>
    <row r="25" ht="15.75" customHeight="1">
      <c r="A25" s="6" t="s">
        <v>106</v>
      </c>
      <c r="B25" s="3" t="s">
        <v>107</v>
      </c>
    </row>
    <row r="26" ht="15.75" customHeight="1">
      <c r="A26" s="6" t="s">
        <v>110</v>
      </c>
      <c r="B26" s="3" t="s">
        <v>114</v>
      </c>
    </row>
    <row r="27" ht="15.75" customHeight="1">
      <c r="A27" s="6" t="s">
        <v>116</v>
      </c>
      <c r="B27" s="3" t="s">
        <v>119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2" width="46.0"/>
    <col customWidth="1" min="3" max="3" width="44.0"/>
    <col customWidth="1" min="4" max="5" width="46.0"/>
    <col customWidth="1" min="6" max="6" width="40.0"/>
    <col customWidth="1" min="7" max="7" width="60.0"/>
    <col customWidth="1" min="8" max="8" width="34.0"/>
    <col customWidth="1" min="9" max="9" width="40.0"/>
    <col customWidth="1" min="10" max="10" width="70.0"/>
    <col customWidth="1" min="11" max="11" width="60.0"/>
    <col customWidth="1" min="12" max="12" width="12.0"/>
    <col customWidth="1" min="13" max="13" width="10.0"/>
    <col customWidth="1" min="14" max="15" width="11.0"/>
    <col customWidth="1" min="16" max="16" width="40.0"/>
    <col customWidth="1" min="17" max="26" width="8.71"/>
  </cols>
  <sheetData>
    <row r="1">
      <c r="A1" s="2" t="s">
        <v>2</v>
      </c>
      <c r="B1" s="2" t="s">
        <v>3</v>
      </c>
      <c r="C1" s="2" t="s">
        <v>4</v>
      </c>
      <c r="D1" s="2" t="s">
        <v>5</v>
      </c>
      <c r="E1" s="2" t="s">
        <v>6</v>
      </c>
      <c r="F1" s="2" t="s">
        <v>7</v>
      </c>
      <c r="G1" s="2" t="s">
        <v>8</v>
      </c>
      <c r="H1" s="2" t="s">
        <v>9</v>
      </c>
      <c r="I1" s="2" t="s">
        <v>10</v>
      </c>
      <c r="J1" s="2" t="s">
        <v>12</v>
      </c>
      <c r="K1" s="2" t="s">
        <v>14</v>
      </c>
      <c r="L1" s="2" t="s">
        <v>17</v>
      </c>
      <c r="M1" s="2" t="s">
        <v>18</v>
      </c>
      <c r="N1" s="2" t="s">
        <v>22</v>
      </c>
      <c r="O1" s="2" t="s">
        <v>25</v>
      </c>
      <c r="P1" s="2" t="s">
        <v>31</v>
      </c>
    </row>
    <row r="2" ht="120.0" customHeight="1">
      <c r="A2" s="8" t="s">
        <v>34</v>
      </c>
      <c r="B2" s="8" t="s">
        <v>40</v>
      </c>
      <c r="C2" s="8" t="s">
        <v>43</v>
      </c>
      <c r="D2" s="8" t="s">
        <v>45</v>
      </c>
      <c r="E2" s="11" t="s">
        <v>47</v>
      </c>
      <c r="F2" s="8" t="s">
        <v>105</v>
      </c>
      <c r="G2" s="8" t="s">
        <v>108</v>
      </c>
      <c r="H2" s="8" t="s">
        <v>112</v>
      </c>
      <c r="I2" s="8" t="s">
        <v>115</v>
      </c>
      <c r="J2" s="8" t="s">
        <v>118</v>
      </c>
      <c r="K2" s="8" t="s">
        <v>121</v>
      </c>
      <c r="L2" s="8">
        <v>167357.0</v>
      </c>
      <c r="M2" s="8">
        <v>1004.0</v>
      </c>
      <c r="N2" s="8">
        <v>59.0</v>
      </c>
      <c r="O2" s="8">
        <v>27.0</v>
      </c>
      <c r="P2" s="8" t="s">
        <v>126</v>
      </c>
    </row>
    <row r="3" ht="120.0" customHeight="1">
      <c r="A3" s="8" t="s">
        <v>128</v>
      </c>
      <c r="B3" s="8" t="s">
        <v>131</v>
      </c>
      <c r="C3" s="8" t="s">
        <v>133</v>
      </c>
      <c r="D3" s="8" t="s">
        <v>135</v>
      </c>
      <c r="E3" s="11" t="s">
        <v>137</v>
      </c>
      <c r="F3" s="8" t="s">
        <v>145</v>
      </c>
      <c r="G3" s="8" t="s">
        <v>146</v>
      </c>
      <c r="H3" s="8" t="s">
        <v>112</v>
      </c>
      <c r="I3" s="8" t="s">
        <v>149</v>
      </c>
      <c r="J3" s="8" t="s">
        <v>150</v>
      </c>
      <c r="K3" s="8" t="s">
        <v>152</v>
      </c>
      <c r="L3" s="8">
        <v>172890.0</v>
      </c>
      <c r="M3" s="8">
        <v>1270.0</v>
      </c>
      <c r="N3" s="8">
        <v>57.0</v>
      </c>
      <c r="O3" s="8">
        <v>32.0</v>
      </c>
      <c r="P3" s="8" t="s">
        <v>126</v>
      </c>
    </row>
    <row r="4" ht="120.0" customHeight="1">
      <c r="A4" s="8" t="s">
        <v>158</v>
      </c>
      <c r="B4" s="8" t="s">
        <v>159</v>
      </c>
      <c r="C4" s="8" t="s">
        <v>160</v>
      </c>
      <c r="D4" s="8" t="s">
        <v>162</v>
      </c>
      <c r="E4" s="11" t="s">
        <v>163</v>
      </c>
      <c r="F4" s="8" t="s">
        <v>173</v>
      </c>
      <c r="G4" s="8" t="s">
        <v>174</v>
      </c>
      <c r="H4" s="8" t="s">
        <v>112</v>
      </c>
      <c r="I4" s="8" t="s">
        <v>149</v>
      </c>
      <c r="J4" s="8" t="s">
        <v>178</v>
      </c>
      <c r="K4" s="8" t="s">
        <v>180</v>
      </c>
      <c r="L4" s="8">
        <v>176250.0</v>
      </c>
      <c r="M4" s="8">
        <v>1226.0</v>
      </c>
      <c r="N4" s="8">
        <v>53.0</v>
      </c>
      <c r="O4" s="8">
        <v>33.0</v>
      </c>
      <c r="P4" s="8" t="s">
        <v>126</v>
      </c>
    </row>
    <row r="5" ht="120.0" customHeight="1">
      <c r="A5" s="8" t="s">
        <v>184</v>
      </c>
      <c r="B5" s="8" t="s">
        <v>185</v>
      </c>
      <c r="C5" s="8" t="s">
        <v>187</v>
      </c>
      <c r="D5" s="8" t="s">
        <v>189</v>
      </c>
      <c r="E5" s="11" t="s">
        <v>191</v>
      </c>
      <c r="F5" s="8" t="s">
        <v>200</v>
      </c>
      <c r="G5" s="8" t="s">
        <v>202</v>
      </c>
      <c r="H5" s="8" t="s">
        <v>203</v>
      </c>
      <c r="I5" s="8" t="s">
        <v>149</v>
      </c>
      <c r="J5" s="8" t="s">
        <v>207</v>
      </c>
      <c r="K5" s="8" t="s">
        <v>208</v>
      </c>
      <c r="L5" s="8">
        <v>164015.0</v>
      </c>
      <c r="M5" s="8">
        <v>1133.0</v>
      </c>
      <c r="N5" s="8">
        <v>58.0</v>
      </c>
      <c r="O5" s="8">
        <v>27.0</v>
      </c>
      <c r="P5" s="8" t="s">
        <v>126</v>
      </c>
    </row>
    <row r="6" ht="120.0" customHeight="1">
      <c r="A6" s="8" t="s">
        <v>212</v>
      </c>
      <c r="B6" s="8" t="s">
        <v>213</v>
      </c>
      <c r="C6" s="8" t="s">
        <v>215</v>
      </c>
      <c r="D6" s="8" t="s">
        <v>218</v>
      </c>
      <c r="E6" s="11" t="s">
        <v>219</v>
      </c>
      <c r="F6" s="8" t="s">
        <v>227</v>
      </c>
      <c r="G6" s="8" t="s">
        <v>230</v>
      </c>
      <c r="H6" s="8" t="s">
        <v>231</v>
      </c>
      <c r="I6" s="8" t="s">
        <v>232</v>
      </c>
      <c r="J6" s="8" t="s">
        <v>234</v>
      </c>
      <c r="K6" s="8" t="s">
        <v>235</v>
      </c>
      <c r="L6" s="8">
        <v>176673.0</v>
      </c>
      <c r="M6" s="8">
        <v>1228.0</v>
      </c>
      <c r="N6" s="8">
        <v>53.0</v>
      </c>
      <c r="O6" s="8">
        <v>29.0</v>
      </c>
      <c r="P6" s="8"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s>
  <printOptions/>
  <pageMargins bottom="1.0" footer="0.0" header="0.0" left="0.75" right="0.75" top="1.0"/>
  <pageSetup paperSize="9" orientation="portrait"/>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12.0"/>
    <col customWidth="1" min="3" max="3" width="11.0"/>
    <col customWidth="1" min="4" max="4" width="66.0"/>
    <col customWidth="1" min="5" max="5" width="16.0"/>
    <col customWidth="1" min="6" max="6" width="13.0"/>
    <col customWidth="1" min="7" max="7" width="40.0"/>
    <col customWidth="1" min="8" max="8" width="70.0"/>
    <col customWidth="1" min="9" max="26" width="8.71"/>
  </cols>
  <sheetData>
    <row r="1">
      <c r="A1" s="2" t="s">
        <v>1</v>
      </c>
      <c r="B1" s="2" t="s">
        <v>15</v>
      </c>
      <c r="C1" s="2" t="s">
        <v>16</v>
      </c>
      <c r="D1" s="2" t="s">
        <v>20</v>
      </c>
      <c r="E1" s="2" t="s">
        <v>23</v>
      </c>
      <c r="F1" s="2" t="s">
        <v>27</v>
      </c>
      <c r="G1" s="2" t="s">
        <v>30</v>
      </c>
      <c r="H1" s="2" t="s">
        <v>33</v>
      </c>
    </row>
    <row r="2">
      <c r="A2" s="8" t="s">
        <v>34</v>
      </c>
      <c r="B2" s="8" t="s">
        <v>39</v>
      </c>
      <c r="C2" s="8" t="s">
        <v>42</v>
      </c>
      <c r="D2" s="8" t="s">
        <v>44</v>
      </c>
      <c r="E2" s="8">
        <v>4.0</v>
      </c>
      <c r="F2" s="8"/>
      <c r="G2" s="8"/>
      <c r="H2" s="8" t="s">
        <v>54</v>
      </c>
    </row>
    <row r="3">
      <c r="A3" s="8" t="s">
        <v>34</v>
      </c>
      <c r="B3" s="8" t="s">
        <v>56</v>
      </c>
      <c r="C3" s="8"/>
      <c r="D3" s="8" t="s">
        <v>58</v>
      </c>
      <c r="E3" s="8">
        <v>4.0</v>
      </c>
      <c r="F3" s="8" t="s">
        <v>42</v>
      </c>
      <c r="G3" s="8" t="s">
        <v>44</v>
      </c>
      <c r="H3" s="8" t="s">
        <v>63</v>
      </c>
    </row>
    <row r="4">
      <c r="A4" s="8" t="s">
        <v>34</v>
      </c>
      <c r="B4" s="8" t="s">
        <v>56</v>
      </c>
      <c r="C4" s="8"/>
      <c r="D4" s="8" t="s">
        <v>67</v>
      </c>
      <c r="E4" s="8">
        <v>4.0</v>
      </c>
      <c r="F4" s="8" t="s">
        <v>42</v>
      </c>
      <c r="G4" s="8" t="s">
        <v>44</v>
      </c>
      <c r="H4" s="8" t="s">
        <v>70</v>
      </c>
    </row>
    <row r="5">
      <c r="A5" s="8" t="s">
        <v>34</v>
      </c>
      <c r="B5" s="8" t="s">
        <v>56</v>
      </c>
      <c r="C5" s="8"/>
      <c r="D5" s="8" t="s">
        <v>76</v>
      </c>
      <c r="E5" s="8">
        <v>6.0</v>
      </c>
      <c r="F5" s="8" t="s">
        <v>42</v>
      </c>
      <c r="G5" s="8" t="s">
        <v>44</v>
      </c>
      <c r="H5" s="8" t="s">
        <v>79</v>
      </c>
    </row>
    <row r="6">
      <c r="A6" s="8" t="s">
        <v>34</v>
      </c>
      <c r="B6" s="8" t="s">
        <v>39</v>
      </c>
      <c r="C6" s="8" t="s">
        <v>83</v>
      </c>
      <c r="D6" s="8" t="s">
        <v>85</v>
      </c>
      <c r="E6" s="8">
        <v>9.0</v>
      </c>
      <c r="F6" s="8"/>
      <c r="G6" s="8"/>
      <c r="H6" s="8" t="s">
        <v>88</v>
      </c>
    </row>
    <row r="7">
      <c r="A7" s="8" t="s">
        <v>34</v>
      </c>
      <c r="B7" s="8" t="s">
        <v>56</v>
      </c>
      <c r="C7" s="8"/>
      <c r="D7" s="8" t="s">
        <v>91</v>
      </c>
      <c r="E7" s="8">
        <v>9.0</v>
      </c>
      <c r="F7" s="8" t="s">
        <v>83</v>
      </c>
      <c r="G7" s="8" t="s">
        <v>85</v>
      </c>
      <c r="H7" s="8" t="s">
        <v>95</v>
      </c>
    </row>
    <row r="8">
      <c r="A8" s="8" t="s">
        <v>34</v>
      </c>
      <c r="B8" s="8" t="s">
        <v>56</v>
      </c>
      <c r="C8" s="8"/>
      <c r="D8" s="8" t="s">
        <v>98</v>
      </c>
      <c r="E8" s="8">
        <v>9.0</v>
      </c>
      <c r="F8" s="8" t="s">
        <v>83</v>
      </c>
      <c r="G8" s="8" t="s">
        <v>85</v>
      </c>
      <c r="H8" s="8" t="s">
        <v>100</v>
      </c>
    </row>
    <row r="9">
      <c r="A9" s="8" t="s">
        <v>34</v>
      </c>
      <c r="B9" s="8" t="s">
        <v>56</v>
      </c>
      <c r="C9" s="8"/>
      <c r="D9" s="8" t="s">
        <v>104</v>
      </c>
      <c r="E9" s="8">
        <v>10.0</v>
      </c>
      <c r="F9" s="8" t="s">
        <v>83</v>
      </c>
      <c r="G9" s="8" t="s">
        <v>85</v>
      </c>
      <c r="H9" s="8" t="s">
        <v>109</v>
      </c>
    </row>
    <row r="10">
      <c r="A10" s="8" t="s">
        <v>34</v>
      </c>
      <c r="B10" s="8" t="s">
        <v>56</v>
      </c>
      <c r="C10" s="8"/>
      <c r="D10" s="8" t="s">
        <v>117</v>
      </c>
      <c r="E10" s="8">
        <v>10.0</v>
      </c>
      <c r="F10" s="8" t="s">
        <v>83</v>
      </c>
      <c r="G10" s="8" t="s">
        <v>85</v>
      </c>
      <c r="H10" s="8" t="s">
        <v>123</v>
      </c>
    </row>
    <row r="11">
      <c r="A11" s="8" t="s">
        <v>34</v>
      </c>
      <c r="B11" s="8" t="s">
        <v>39</v>
      </c>
      <c r="C11" s="8" t="s">
        <v>124</v>
      </c>
      <c r="D11" s="8" t="s">
        <v>125</v>
      </c>
      <c r="E11" s="8">
        <v>11.0</v>
      </c>
      <c r="F11" s="8"/>
      <c r="G11" s="8"/>
      <c r="H11" s="8" t="s">
        <v>127</v>
      </c>
    </row>
    <row r="12">
      <c r="A12" s="8" t="s">
        <v>34</v>
      </c>
      <c r="B12" s="8" t="s">
        <v>39</v>
      </c>
      <c r="C12" s="8" t="s">
        <v>129</v>
      </c>
      <c r="D12" s="8" t="s">
        <v>130</v>
      </c>
      <c r="E12" s="8">
        <v>13.0</v>
      </c>
      <c r="F12" s="8"/>
      <c r="G12" s="8"/>
      <c r="H12" s="8" t="s">
        <v>136</v>
      </c>
    </row>
    <row r="13">
      <c r="A13" s="8" t="s">
        <v>34</v>
      </c>
      <c r="B13" s="8" t="s">
        <v>56</v>
      </c>
      <c r="C13" s="8"/>
      <c r="D13" s="8" t="s">
        <v>138</v>
      </c>
      <c r="E13" s="8">
        <v>13.0</v>
      </c>
      <c r="F13" s="8" t="s">
        <v>129</v>
      </c>
      <c r="G13" s="8" t="s">
        <v>130</v>
      </c>
      <c r="H13" s="8" t="s">
        <v>139</v>
      </c>
    </row>
    <row r="14">
      <c r="A14" s="8" t="s">
        <v>34</v>
      </c>
      <c r="B14" s="8" t="s">
        <v>56</v>
      </c>
      <c r="C14" s="8"/>
      <c r="D14" s="8" t="s">
        <v>140</v>
      </c>
      <c r="E14" s="8">
        <v>13.0</v>
      </c>
      <c r="F14" s="8" t="s">
        <v>129</v>
      </c>
      <c r="G14" s="8" t="s">
        <v>130</v>
      </c>
      <c r="H14" s="8" t="s">
        <v>142</v>
      </c>
    </row>
    <row r="15">
      <c r="A15" s="8" t="s">
        <v>34</v>
      </c>
      <c r="B15" s="8" t="s">
        <v>56</v>
      </c>
      <c r="C15" s="8"/>
      <c r="D15" s="8" t="s">
        <v>144</v>
      </c>
      <c r="E15" s="8">
        <v>14.0</v>
      </c>
      <c r="F15" s="8" t="s">
        <v>129</v>
      </c>
      <c r="G15" s="8" t="s">
        <v>130</v>
      </c>
      <c r="H15" s="8" t="s">
        <v>147</v>
      </c>
    </row>
    <row r="16">
      <c r="A16" s="8" t="s">
        <v>34</v>
      </c>
      <c r="B16" s="8" t="s">
        <v>56</v>
      </c>
      <c r="C16" s="8"/>
      <c r="D16" s="8" t="s">
        <v>148</v>
      </c>
      <c r="E16" s="8">
        <v>14.0</v>
      </c>
      <c r="F16" s="8" t="s">
        <v>129</v>
      </c>
      <c r="G16" s="8" t="s">
        <v>130</v>
      </c>
      <c r="H16" s="8" t="s">
        <v>151</v>
      </c>
    </row>
    <row r="17">
      <c r="A17" s="8" t="s">
        <v>34</v>
      </c>
      <c r="B17" s="8" t="s">
        <v>39</v>
      </c>
      <c r="C17" s="8" t="s">
        <v>153</v>
      </c>
      <c r="D17" s="8" t="s">
        <v>155</v>
      </c>
      <c r="E17" s="8">
        <v>16.0</v>
      </c>
      <c r="F17" s="8"/>
      <c r="G17" s="8"/>
      <c r="H17" s="8" t="s">
        <v>157</v>
      </c>
    </row>
    <row r="18">
      <c r="A18" s="8" t="s">
        <v>34</v>
      </c>
      <c r="B18" s="8" t="s">
        <v>56</v>
      </c>
      <c r="C18" s="8"/>
      <c r="D18" s="8" t="s">
        <v>161</v>
      </c>
      <c r="E18" s="8">
        <v>16.0</v>
      </c>
      <c r="F18" s="8" t="s">
        <v>153</v>
      </c>
      <c r="G18" s="8" t="s">
        <v>155</v>
      </c>
      <c r="H18" s="8" t="s">
        <v>165</v>
      </c>
    </row>
    <row r="19">
      <c r="A19" s="8" t="s">
        <v>34</v>
      </c>
      <c r="B19" s="8" t="s">
        <v>56</v>
      </c>
      <c r="C19" s="8"/>
      <c r="D19" s="8" t="s">
        <v>167</v>
      </c>
      <c r="E19" s="8">
        <v>16.0</v>
      </c>
      <c r="F19" s="8" t="s">
        <v>153</v>
      </c>
      <c r="G19" s="8" t="s">
        <v>155</v>
      </c>
      <c r="H19" s="8" t="s">
        <v>170</v>
      </c>
    </row>
    <row r="20">
      <c r="A20" s="8" t="s">
        <v>34</v>
      </c>
      <c r="B20" s="8" t="s">
        <v>56</v>
      </c>
      <c r="C20" s="8"/>
      <c r="D20" s="8" t="s">
        <v>171</v>
      </c>
      <c r="E20" s="8">
        <v>17.0</v>
      </c>
      <c r="F20" s="8" t="s">
        <v>153</v>
      </c>
      <c r="G20" s="8" t="s">
        <v>155</v>
      </c>
      <c r="H20" s="8" t="s">
        <v>172</v>
      </c>
    </row>
    <row r="21" ht="15.75" customHeight="1">
      <c r="A21" s="8" t="s">
        <v>34</v>
      </c>
      <c r="B21" s="8" t="s">
        <v>56</v>
      </c>
      <c r="C21" s="8"/>
      <c r="D21" s="8" t="s">
        <v>175</v>
      </c>
      <c r="E21" s="8">
        <v>17.0</v>
      </c>
      <c r="F21" s="8" t="s">
        <v>153</v>
      </c>
      <c r="G21" s="8" t="s">
        <v>155</v>
      </c>
      <c r="H21" s="8" t="s">
        <v>179</v>
      </c>
    </row>
    <row r="22" ht="15.75" customHeight="1">
      <c r="A22" s="8" t="s">
        <v>34</v>
      </c>
      <c r="B22" s="8" t="s">
        <v>39</v>
      </c>
      <c r="C22" s="8" t="s">
        <v>181</v>
      </c>
      <c r="D22" s="8" t="s">
        <v>182</v>
      </c>
      <c r="E22" s="8">
        <v>18.0</v>
      </c>
      <c r="F22" s="8"/>
      <c r="G22" s="8"/>
      <c r="H22" s="8" t="s">
        <v>183</v>
      </c>
    </row>
    <row r="23" ht="15.75" customHeight="1">
      <c r="A23" s="8" t="s">
        <v>34</v>
      </c>
      <c r="B23" s="8" t="s">
        <v>56</v>
      </c>
      <c r="C23" s="8"/>
      <c r="D23" s="8" t="s">
        <v>190</v>
      </c>
      <c r="E23" s="8">
        <v>18.0</v>
      </c>
      <c r="F23" s="8" t="s">
        <v>181</v>
      </c>
      <c r="G23" s="8" t="s">
        <v>182</v>
      </c>
      <c r="H23" s="8" t="s">
        <v>192</v>
      </c>
    </row>
    <row r="24" ht="15.75" customHeight="1">
      <c r="A24" s="8" t="s">
        <v>34</v>
      </c>
      <c r="B24" s="8" t="s">
        <v>56</v>
      </c>
      <c r="C24" s="8"/>
      <c r="D24" s="8" t="s">
        <v>193</v>
      </c>
      <c r="E24" s="8">
        <v>18.0</v>
      </c>
      <c r="F24" s="8" t="s">
        <v>181</v>
      </c>
      <c r="G24" s="8" t="s">
        <v>182</v>
      </c>
      <c r="H24" s="8" t="s">
        <v>196</v>
      </c>
    </row>
    <row r="25" ht="15.75" customHeight="1">
      <c r="A25" s="8" t="s">
        <v>34</v>
      </c>
      <c r="B25" s="8" t="s">
        <v>56</v>
      </c>
      <c r="C25" s="8"/>
      <c r="D25" s="8" t="s">
        <v>197</v>
      </c>
      <c r="E25" s="8">
        <v>19.0</v>
      </c>
      <c r="F25" s="8" t="s">
        <v>181</v>
      </c>
      <c r="G25" s="8" t="s">
        <v>182</v>
      </c>
      <c r="H25" s="8" t="s">
        <v>201</v>
      </c>
    </row>
    <row r="26" ht="15.75" customHeight="1">
      <c r="A26" s="8" t="s">
        <v>34</v>
      </c>
      <c r="B26" s="8" t="s">
        <v>56</v>
      </c>
      <c r="C26" s="8"/>
      <c r="D26" s="8" t="s">
        <v>206</v>
      </c>
      <c r="E26" s="8">
        <v>19.0</v>
      </c>
      <c r="F26" s="8" t="s">
        <v>181</v>
      </c>
      <c r="G26" s="8" t="s">
        <v>182</v>
      </c>
      <c r="H26" s="8" t="s">
        <v>209</v>
      </c>
    </row>
    <row r="27" ht="15.75" customHeight="1">
      <c r="A27" s="8" t="s">
        <v>34</v>
      </c>
      <c r="B27" s="8" t="s">
        <v>39</v>
      </c>
      <c r="C27" s="8" t="s">
        <v>210</v>
      </c>
      <c r="D27" s="8" t="s">
        <v>211</v>
      </c>
      <c r="E27" s="8">
        <v>21.0</v>
      </c>
      <c r="F27" s="8"/>
      <c r="G27" s="8"/>
      <c r="H27" s="8" t="s">
        <v>216</v>
      </c>
    </row>
    <row r="28" ht="15.75" customHeight="1">
      <c r="A28" s="8" t="s">
        <v>34</v>
      </c>
      <c r="B28" s="8" t="s">
        <v>56</v>
      </c>
      <c r="C28" s="8"/>
      <c r="D28" s="8" t="s">
        <v>220</v>
      </c>
      <c r="E28" s="8">
        <v>21.0</v>
      </c>
      <c r="F28" s="8" t="s">
        <v>210</v>
      </c>
      <c r="G28" s="8" t="s">
        <v>211</v>
      </c>
      <c r="H28" s="8" t="s">
        <v>223</v>
      </c>
    </row>
    <row r="29" ht="15.75" customHeight="1">
      <c r="A29" s="8" t="s">
        <v>34</v>
      </c>
      <c r="B29" s="8" t="s">
        <v>56</v>
      </c>
      <c r="C29" s="8"/>
      <c r="D29" s="8" t="s">
        <v>224</v>
      </c>
      <c r="E29" s="8">
        <v>21.0</v>
      </c>
      <c r="F29" s="8" t="s">
        <v>210</v>
      </c>
      <c r="G29" s="8" t="s">
        <v>211</v>
      </c>
      <c r="H29" s="8" t="s">
        <v>225</v>
      </c>
    </row>
    <row r="30" ht="15.75" customHeight="1">
      <c r="A30" s="8" t="s">
        <v>34</v>
      </c>
      <c r="B30" s="8" t="s">
        <v>56</v>
      </c>
      <c r="C30" s="8"/>
      <c r="D30" s="8" t="s">
        <v>228</v>
      </c>
      <c r="E30" s="8">
        <v>22.0</v>
      </c>
      <c r="F30" s="8" t="s">
        <v>210</v>
      </c>
      <c r="G30" s="8" t="s">
        <v>211</v>
      </c>
      <c r="H30" s="8" t="s">
        <v>233</v>
      </c>
    </row>
    <row r="31" ht="15.75" customHeight="1">
      <c r="A31" s="8" t="s">
        <v>34</v>
      </c>
      <c r="B31" s="8" t="s">
        <v>56</v>
      </c>
      <c r="C31" s="8"/>
      <c r="D31" s="8" t="s">
        <v>236</v>
      </c>
      <c r="E31" s="8">
        <v>22.0</v>
      </c>
      <c r="F31" s="8" t="s">
        <v>210</v>
      </c>
      <c r="G31" s="8" t="s">
        <v>211</v>
      </c>
      <c r="H31" s="8" t="s">
        <v>239</v>
      </c>
    </row>
    <row r="32" ht="15.75" customHeight="1">
      <c r="A32" s="8" t="s">
        <v>34</v>
      </c>
      <c r="B32" s="8" t="s">
        <v>39</v>
      </c>
      <c r="C32" s="8" t="s">
        <v>241</v>
      </c>
      <c r="D32" s="8" t="s">
        <v>243</v>
      </c>
      <c r="E32" s="8">
        <v>24.0</v>
      </c>
      <c r="F32" s="8"/>
      <c r="G32" s="8"/>
      <c r="H32" s="8" t="s">
        <v>244</v>
      </c>
    </row>
    <row r="33" ht="15.75" customHeight="1">
      <c r="A33" s="8" t="s">
        <v>34</v>
      </c>
      <c r="B33" s="8" t="s">
        <v>56</v>
      </c>
      <c r="C33" s="8"/>
      <c r="D33" s="8" t="s">
        <v>247</v>
      </c>
      <c r="E33" s="8">
        <v>24.0</v>
      </c>
      <c r="F33" s="8" t="s">
        <v>241</v>
      </c>
      <c r="G33" s="8" t="s">
        <v>243</v>
      </c>
      <c r="H33" s="8" t="s">
        <v>248</v>
      </c>
    </row>
    <row r="34" ht="15.75" customHeight="1">
      <c r="A34" s="8" t="s">
        <v>34</v>
      </c>
      <c r="B34" s="8" t="s">
        <v>56</v>
      </c>
      <c r="C34" s="8"/>
      <c r="D34" s="8" t="s">
        <v>251</v>
      </c>
      <c r="E34" s="8">
        <v>24.0</v>
      </c>
      <c r="F34" s="8" t="s">
        <v>241</v>
      </c>
      <c r="G34" s="8" t="s">
        <v>243</v>
      </c>
      <c r="H34" s="8" t="s">
        <v>254</v>
      </c>
    </row>
    <row r="35" ht="15.75" customHeight="1">
      <c r="A35" s="8" t="s">
        <v>34</v>
      </c>
      <c r="B35" s="8" t="s">
        <v>56</v>
      </c>
      <c r="C35" s="8"/>
      <c r="D35" s="8" t="s">
        <v>259</v>
      </c>
      <c r="E35" s="8">
        <v>25.0</v>
      </c>
      <c r="F35" s="8" t="s">
        <v>241</v>
      </c>
      <c r="G35" s="8" t="s">
        <v>243</v>
      </c>
      <c r="H35" s="8" t="s">
        <v>262</v>
      </c>
    </row>
    <row r="36" ht="15.75" customHeight="1">
      <c r="A36" s="8" t="s">
        <v>34</v>
      </c>
      <c r="B36" s="8" t="s">
        <v>39</v>
      </c>
      <c r="C36" s="8" t="s">
        <v>263</v>
      </c>
      <c r="D36" s="8" t="s">
        <v>264</v>
      </c>
      <c r="E36" s="8">
        <v>26.0</v>
      </c>
      <c r="F36" s="8"/>
      <c r="G36" s="8"/>
      <c r="H36" s="8" t="s">
        <v>267</v>
      </c>
    </row>
    <row r="37" ht="15.75" customHeight="1">
      <c r="A37" s="8" t="s">
        <v>34</v>
      </c>
      <c r="B37" s="8" t="s">
        <v>56</v>
      </c>
      <c r="C37" s="8"/>
      <c r="D37" s="8" t="s">
        <v>270</v>
      </c>
      <c r="E37" s="8">
        <v>26.0</v>
      </c>
      <c r="F37" s="8" t="s">
        <v>263</v>
      </c>
      <c r="G37" s="8" t="s">
        <v>264</v>
      </c>
      <c r="H37" s="8" t="s">
        <v>274</v>
      </c>
    </row>
    <row r="38" ht="15.75" customHeight="1">
      <c r="A38" s="8" t="s">
        <v>34</v>
      </c>
      <c r="B38" s="8" t="s">
        <v>39</v>
      </c>
      <c r="C38" s="8" t="s">
        <v>272</v>
      </c>
      <c r="D38" s="8" t="s">
        <v>273</v>
      </c>
      <c r="E38" s="8">
        <v>28.0</v>
      </c>
      <c r="F38" s="8"/>
      <c r="G38" s="8"/>
      <c r="H38" s="8" t="s">
        <v>276</v>
      </c>
    </row>
    <row r="39" ht="15.75" customHeight="1">
      <c r="A39" s="8" t="s">
        <v>34</v>
      </c>
      <c r="B39" s="8" t="s">
        <v>39</v>
      </c>
      <c r="C39" s="8" t="s">
        <v>277</v>
      </c>
      <c r="D39" s="8" t="s">
        <v>278</v>
      </c>
      <c r="E39" s="8">
        <v>28.0</v>
      </c>
      <c r="F39" s="8"/>
      <c r="G39" s="8"/>
      <c r="H39" s="8" t="s">
        <v>279</v>
      </c>
    </row>
    <row r="40" ht="15.75" customHeight="1">
      <c r="A40" s="8" t="s">
        <v>34</v>
      </c>
      <c r="B40" s="8" t="s">
        <v>56</v>
      </c>
      <c r="C40" s="8"/>
      <c r="D40" s="8" t="s">
        <v>280</v>
      </c>
      <c r="E40" s="8">
        <v>28.0</v>
      </c>
      <c r="F40" s="8" t="s">
        <v>277</v>
      </c>
      <c r="G40" s="8" t="s">
        <v>278</v>
      </c>
      <c r="H40" s="8" t="s">
        <v>283</v>
      </c>
    </row>
    <row r="41" ht="15.75" customHeight="1">
      <c r="A41" s="8" t="s">
        <v>34</v>
      </c>
      <c r="B41" s="8" t="s">
        <v>56</v>
      </c>
      <c r="C41" s="8"/>
      <c r="D41" s="8" t="s">
        <v>286</v>
      </c>
      <c r="E41" s="8">
        <v>29.0</v>
      </c>
      <c r="F41" s="8" t="s">
        <v>277</v>
      </c>
      <c r="G41" s="8" t="s">
        <v>278</v>
      </c>
      <c r="H41" s="8" t="s">
        <v>288</v>
      </c>
    </row>
    <row r="42" ht="15.75" customHeight="1">
      <c r="A42" s="8" t="s">
        <v>34</v>
      </c>
      <c r="B42" s="8" t="s">
        <v>39</v>
      </c>
      <c r="C42" s="8" t="s">
        <v>284</v>
      </c>
      <c r="D42" s="8" t="s">
        <v>285</v>
      </c>
      <c r="E42" s="8">
        <v>30.0</v>
      </c>
      <c r="F42" s="8"/>
      <c r="G42" s="8"/>
      <c r="H42" s="8" t="s">
        <v>294</v>
      </c>
    </row>
    <row r="43" ht="15.75" customHeight="1">
      <c r="A43" s="8" t="s">
        <v>34</v>
      </c>
      <c r="B43" s="8" t="s">
        <v>56</v>
      </c>
      <c r="C43" s="8"/>
      <c r="D43" s="8" t="s">
        <v>297</v>
      </c>
      <c r="E43" s="8">
        <v>31.0</v>
      </c>
      <c r="F43" s="8" t="s">
        <v>284</v>
      </c>
      <c r="G43" s="8" t="s">
        <v>285</v>
      </c>
      <c r="H43" s="8" t="s">
        <v>300</v>
      </c>
    </row>
    <row r="44" ht="15.75" customHeight="1">
      <c r="A44" s="8" t="s">
        <v>34</v>
      </c>
      <c r="B44" s="8" t="s">
        <v>56</v>
      </c>
      <c r="C44" s="8"/>
      <c r="D44" s="8" t="s">
        <v>304</v>
      </c>
      <c r="E44" s="8">
        <v>31.0</v>
      </c>
      <c r="F44" s="8" t="s">
        <v>284</v>
      </c>
      <c r="G44" s="8" t="s">
        <v>285</v>
      </c>
      <c r="H44" s="8" t="s">
        <v>307</v>
      </c>
    </row>
    <row r="45" ht="15.75" customHeight="1">
      <c r="A45" s="8" t="s">
        <v>34</v>
      </c>
      <c r="B45" s="8" t="s">
        <v>56</v>
      </c>
      <c r="C45" s="8"/>
      <c r="D45" s="8" t="s">
        <v>310</v>
      </c>
      <c r="E45" s="8">
        <v>31.0</v>
      </c>
      <c r="F45" s="8" t="s">
        <v>284</v>
      </c>
      <c r="G45" s="8" t="s">
        <v>285</v>
      </c>
      <c r="H45" s="8" t="s">
        <v>312</v>
      </c>
    </row>
    <row r="46" ht="15.75" customHeight="1">
      <c r="A46" s="8" t="s">
        <v>34</v>
      </c>
      <c r="B46" s="8" t="s">
        <v>39</v>
      </c>
      <c r="C46" s="8" t="s">
        <v>292</v>
      </c>
      <c r="D46" s="8" t="s">
        <v>293</v>
      </c>
      <c r="E46" s="8">
        <v>32.0</v>
      </c>
      <c r="F46" s="8"/>
      <c r="G46" s="8"/>
      <c r="H46" s="8" t="s">
        <v>315</v>
      </c>
    </row>
    <row r="47" ht="15.75" customHeight="1">
      <c r="A47" s="8" t="s">
        <v>34</v>
      </c>
      <c r="B47" s="8" t="s">
        <v>39</v>
      </c>
      <c r="C47" s="8" t="s">
        <v>303</v>
      </c>
      <c r="D47" s="8" t="s">
        <v>305</v>
      </c>
      <c r="E47" s="8">
        <v>33.0</v>
      </c>
      <c r="F47" s="8"/>
      <c r="G47" s="8"/>
      <c r="H47" s="8" t="s">
        <v>320</v>
      </c>
    </row>
    <row r="48" ht="15.75" customHeight="1">
      <c r="A48" s="8" t="s">
        <v>34</v>
      </c>
      <c r="B48" s="8" t="s">
        <v>56</v>
      </c>
      <c r="C48" s="8"/>
      <c r="D48" s="8" t="s">
        <v>306</v>
      </c>
      <c r="E48" s="8">
        <v>33.0</v>
      </c>
      <c r="F48" s="8" t="s">
        <v>303</v>
      </c>
      <c r="G48" s="8" t="s">
        <v>305</v>
      </c>
      <c r="H48" s="8" t="s">
        <v>323</v>
      </c>
    </row>
    <row r="49" ht="15.75" customHeight="1">
      <c r="A49" s="8" t="s">
        <v>34</v>
      </c>
      <c r="B49" s="8" t="s">
        <v>56</v>
      </c>
      <c r="C49" s="8"/>
      <c r="D49" s="8" t="s">
        <v>314</v>
      </c>
      <c r="E49" s="8">
        <v>33.0</v>
      </c>
      <c r="F49" s="8" t="s">
        <v>303</v>
      </c>
      <c r="G49" s="8" t="s">
        <v>305</v>
      </c>
      <c r="H49" s="8" t="s">
        <v>327</v>
      </c>
    </row>
    <row r="50" ht="15.75" customHeight="1">
      <c r="A50" s="8" t="s">
        <v>34</v>
      </c>
      <c r="B50" s="8" t="s">
        <v>56</v>
      </c>
      <c r="C50" s="8"/>
      <c r="D50" s="8" t="s">
        <v>330</v>
      </c>
      <c r="E50" s="8">
        <v>34.0</v>
      </c>
      <c r="F50" s="8" t="s">
        <v>303</v>
      </c>
      <c r="G50" s="8" t="s">
        <v>305</v>
      </c>
      <c r="H50" s="8" t="s">
        <v>333</v>
      </c>
    </row>
    <row r="51" ht="15.75" customHeight="1">
      <c r="A51" s="8" t="s">
        <v>34</v>
      </c>
      <c r="B51" s="8" t="s">
        <v>39</v>
      </c>
      <c r="C51" s="8" t="s">
        <v>318</v>
      </c>
      <c r="D51" s="8" t="s">
        <v>319</v>
      </c>
      <c r="E51" s="8">
        <v>35.0</v>
      </c>
      <c r="F51" s="8"/>
      <c r="G51" s="8"/>
      <c r="H51" s="8" t="s">
        <v>336</v>
      </c>
    </row>
    <row r="52" ht="15.75" customHeight="1">
      <c r="A52" s="8" t="s">
        <v>34</v>
      </c>
      <c r="B52" s="8" t="s">
        <v>39</v>
      </c>
      <c r="C52" s="8" t="s">
        <v>337</v>
      </c>
      <c r="D52" s="8" t="s">
        <v>339</v>
      </c>
      <c r="E52" s="8">
        <v>36.0</v>
      </c>
      <c r="F52" s="8"/>
      <c r="G52" s="8"/>
      <c r="H52" s="8" t="s">
        <v>343</v>
      </c>
    </row>
    <row r="53" ht="15.75" customHeight="1">
      <c r="A53" s="8" t="s">
        <v>34</v>
      </c>
      <c r="B53" s="8" t="s">
        <v>39</v>
      </c>
      <c r="C53" s="8" t="s">
        <v>344</v>
      </c>
      <c r="D53" s="8" t="s">
        <v>345</v>
      </c>
      <c r="E53" s="8">
        <v>37.0</v>
      </c>
      <c r="F53" s="8"/>
      <c r="G53" s="8"/>
      <c r="H53" s="8" t="s">
        <v>346</v>
      </c>
    </row>
    <row r="54" ht="15.75" customHeight="1">
      <c r="A54" s="8" t="s">
        <v>34</v>
      </c>
      <c r="B54" s="8" t="s">
        <v>39</v>
      </c>
      <c r="C54" s="8" t="s">
        <v>277</v>
      </c>
      <c r="D54" s="8" t="s">
        <v>350</v>
      </c>
      <c r="E54" s="8">
        <v>38.0</v>
      </c>
      <c r="F54" s="8"/>
      <c r="G54" s="8"/>
      <c r="H54" s="8" t="s">
        <v>352</v>
      </c>
    </row>
    <row r="55" ht="15.75" customHeight="1">
      <c r="A55" s="8" t="s">
        <v>34</v>
      </c>
      <c r="B55" s="8" t="s">
        <v>39</v>
      </c>
      <c r="C55" s="8" t="s">
        <v>334</v>
      </c>
      <c r="D55" s="8" t="s">
        <v>353</v>
      </c>
      <c r="E55" s="8">
        <v>39.0</v>
      </c>
      <c r="F55" s="8"/>
      <c r="G55" s="8"/>
      <c r="H55" s="8" t="s">
        <v>354</v>
      </c>
    </row>
    <row r="56" ht="15.75" customHeight="1">
      <c r="A56" s="8" t="s">
        <v>34</v>
      </c>
      <c r="B56" s="8" t="s">
        <v>39</v>
      </c>
      <c r="C56" s="8" t="s">
        <v>341</v>
      </c>
      <c r="D56" s="8" t="s">
        <v>342</v>
      </c>
      <c r="E56" s="8">
        <v>41.0</v>
      </c>
      <c r="F56" s="8"/>
      <c r="G56" s="8"/>
      <c r="H56" s="8" t="s">
        <v>355</v>
      </c>
    </row>
    <row r="57" ht="15.75" customHeight="1">
      <c r="A57" s="8" t="s">
        <v>34</v>
      </c>
      <c r="B57" s="8" t="s">
        <v>39</v>
      </c>
      <c r="C57" s="8" t="s">
        <v>349</v>
      </c>
      <c r="D57" s="8" t="s">
        <v>357</v>
      </c>
      <c r="E57" s="8">
        <v>42.0</v>
      </c>
      <c r="F57" s="8"/>
      <c r="G57" s="8"/>
      <c r="H57" s="8" t="s">
        <v>358</v>
      </c>
    </row>
    <row r="58" ht="15.75" customHeight="1">
      <c r="A58" s="8" t="s">
        <v>128</v>
      </c>
      <c r="B58" s="8" t="s">
        <v>39</v>
      </c>
      <c r="C58" s="8" t="s">
        <v>42</v>
      </c>
      <c r="D58" s="8" t="s">
        <v>44</v>
      </c>
      <c r="E58" s="8">
        <v>4.0</v>
      </c>
      <c r="F58" s="8"/>
      <c r="G58" s="8"/>
      <c r="H58" s="8" t="s">
        <v>54</v>
      </c>
    </row>
    <row r="59" ht="15.75" customHeight="1">
      <c r="A59" s="8" t="s">
        <v>128</v>
      </c>
      <c r="B59" s="8" t="s">
        <v>56</v>
      </c>
      <c r="C59" s="8"/>
      <c r="D59" s="8" t="s">
        <v>58</v>
      </c>
      <c r="E59" s="8">
        <v>4.0</v>
      </c>
      <c r="F59" s="8" t="s">
        <v>42</v>
      </c>
      <c r="G59" s="8" t="s">
        <v>44</v>
      </c>
      <c r="H59" s="8" t="s">
        <v>63</v>
      </c>
    </row>
    <row r="60" ht="15.75" customHeight="1">
      <c r="A60" s="8" t="s">
        <v>128</v>
      </c>
      <c r="B60" s="8" t="s">
        <v>56</v>
      </c>
      <c r="C60" s="8"/>
      <c r="D60" s="8" t="s">
        <v>360</v>
      </c>
      <c r="E60" s="8">
        <v>5.0</v>
      </c>
      <c r="F60" s="8" t="s">
        <v>42</v>
      </c>
      <c r="G60" s="8" t="s">
        <v>44</v>
      </c>
      <c r="H60" s="8" t="s">
        <v>364</v>
      </c>
    </row>
    <row r="61" ht="15.75" customHeight="1">
      <c r="A61" s="8" t="s">
        <v>128</v>
      </c>
      <c r="B61" s="8" t="s">
        <v>56</v>
      </c>
      <c r="C61" s="8"/>
      <c r="D61" s="8" t="s">
        <v>365</v>
      </c>
      <c r="E61" s="8">
        <v>6.0</v>
      </c>
      <c r="F61" s="8" t="s">
        <v>42</v>
      </c>
      <c r="G61" s="8" t="s">
        <v>44</v>
      </c>
      <c r="H61" s="8" t="s">
        <v>366</v>
      </c>
    </row>
    <row r="62" ht="15.75" customHeight="1">
      <c r="A62" s="8" t="s">
        <v>128</v>
      </c>
      <c r="B62" s="8" t="s">
        <v>39</v>
      </c>
      <c r="C62" s="8" t="s">
        <v>83</v>
      </c>
      <c r="D62" s="8" t="s">
        <v>363</v>
      </c>
      <c r="E62" s="8">
        <v>8.0</v>
      </c>
      <c r="F62" s="8"/>
      <c r="G62" s="8"/>
      <c r="H62" s="8" t="s">
        <v>370</v>
      </c>
    </row>
    <row r="63" ht="15.75" customHeight="1">
      <c r="A63" s="8" t="s">
        <v>128</v>
      </c>
      <c r="B63" s="8" t="s">
        <v>56</v>
      </c>
      <c r="C63" s="8" t="s">
        <v>368</v>
      </c>
      <c r="D63" s="8" t="s">
        <v>369</v>
      </c>
      <c r="E63" s="8">
        <v>8.0</v>
      </c>
      <c r="F63" s="8" t="s">
        <v>83</v>
      </c>
      <c r="G63" s="8" t="s">
        <v>363</v>
      </c>
      <c r="H63" s="8" t="s">
        <v>372</v>
      </c>
    </row>
    <row r="64" ht="15.75" customHeight="1">
      <c r="A64" s="8" t="s">
        <v>128</v>
      </c>
      <c r="B64" s="8" t="s">
        <v>56</v>
      </c>
      <c r="C64" s="8" t="s">
        <v>375</v>
      </c>
      <c r="D64" s="8" t="s">
        <v>377</v>
      </c>
      <c r="E64" s="8">
        <v>9.0</v>
      </c>
      <c r="F64" s="8" t="s">
        <v>83</v>
      </c>
      <c r="G64" s="8" t="s">
        <v>363</v>
      </c>
      <c r="H64" s="8" t="s">
        <v>380</v>
      </c>
    </row>
    <row r="65" ht="15.75" customHeight="1">
      <c r="A65" s="8" t="s">
        <v>128</v>
      </c>
      <c r="B65" s="8" t="s">
        <v>56</v>
      </c>
      <c r="C65" s="8" t="s">
        <v>374</v>
      </c>
      <c r="D65" s="8" t="s">
        <v>376</v>
      </c>
      <c r="E65" s="8">
        <v>9.0</v>
      </c>
      <c r="F65" s="8" t="s">
        <v>83</v>
      </c>
      <c r="G65" s="8" t="s">
        <v>363</v>
      </c>
      <c r="H65" s="8" t="s">
        <v>391</v>
      </c>
    </row>
    <row r="66" ht="15.75" customHeight="1">
      <c r="A66" s="8" t="s">
        <v>128</v>
      </c>
      <c r="B66" s="8" t="s">
        <v>39</v>
      </c>
      <c r="C66" s="8" t="s">
        <v>124</v>
      </c>
      <c r="D66" s="8" t="s">
        <v>130</v>
      </c>
      <c r="E66" s="8">
        <v>11.0</v>
      </c>
      <c r="F66" s="8"/>
      <c r="G66" s="8"/>
      <c r="H66" s="8" t="s">
        <v>394</v>
      </c>
    </row>
    <row r="67" ht="15.75" customHeight="1">
      <c r="A67" s="8" t="s">
        <v>128</v>
      </c>
      <c r="B67" s="8" t="s">
        <v>56</v>
      </c>
      <c r="C67" s="8" t="s">
        <v>381</v>
      </c>
      <c r="D67" s="8" t="s">
        <v>383</v>
      </c>
      <c r="E67" s="8">
        <v>11.0</v>
      </c>
      <c r="F67" s="8" t="s">
        <v>124</v>
      </c>
      <c r="G67" s="8" t="s">
        <v>130</v>
      </c>
      <c r="H67" s="8" t="s">
        <v>400</v>
      </c>
    </row>
    <row r="68" ht="15.75" customHeight="1">
      <c r="A68" s="8" t="s">
        <v>128</v>
      </c>
      <c r="B68" s="8" t="s">
        <v>56</v>
      </c>
      <c r="C68" s="8" t="s">
        <v>392</v>
      </c>
      <c r="D68" s="8" t="s">
        <v>393</v>
      </c>
      <c r="E68" s="8">
        <v>12.0</v>
      </c>
      <c r="F68" s="8" t="s">
        <v>124</v>
      </c>
      <c r="G68" s="8" t="s">
        <v>130</v>
      </c>
      <c r="H68" s="8" t="s">
        <v>406</v>
      </c>
    </row>
    <row r="69" ht="15.75" customHeight="1">
      <c r="A69" s="8" t="s">
        <v>128</v>
      </c>
      <c r="B69" s="8" t="s">
        <v>56</v>
      </c>
      <c r="C69" s="8" t="s">
        <v>410</v>
      </c>
      <c r="D69" s="8" t="s">
        <v>412</v>
      </c>
      <c r="E69" s="8">
        <v>13.0</v>
      </c>
      <c r="F69" s="8" t="s">
        <v>124</v>
      </c>
      <c r="G69" s="8" t="s">
        <v>130</v>
      </c>
      <c r="H69" s="8" t="s">
        <v>415</v>
      </c>
    </row>
    <row r="70" ht="15.75" customHeight="1">
      <c r="A70" s="8" t="s">
        <v>128</v>
      </c>
      <c r="B70" s="8" t="s">
        <v>56</v>
      </c>
      <c r="C70" s="8" t="s">
        <v>402</v>
      </c>
      <c r="D70" s="8" t="s">
        <v>403</v>
      </c>
      <c r="E70" s="8">
        <v>15.0</v>
      </c>
      <c r="F70" s="8" t="s">
        <v>124</v>
      </c>
      <c r="G70" s="8" t="s">
        <v>130</v>
      </c>
      <c r="H70" s="8" t="s">
        <v>422</v>
      </c>
    </row>
    <row r="71" ht="15.75" customHeight="1">
      <c r="A71" s="8" t="s">
        <v>128</v>
      </c>
      <c r="B71" s="8" t="s">
        <v>56</v>
      </c>
      <c r="C71" s="8" t="s">
        <v>424</v>
      </c>
      <c r="D71" s="8" t="s">
        <v>425</v>
      </c>
      <c r="E71" s="8">
        <v>16.0</v>
      </c>
      <c r="F71" s="8" t="s">
        <v>124</v>
      </c>
      <c r="G71" s="8" t="s">
        <v>130</v>
      </c>
      <c r="H71" s="8" t="s">
        <v>428</v>
      </c>
    </row>
    <row r="72" ht="15.75" customHeight="1">
      <c r="A72" s="8" t="s">
        <v>128</v>
      </c>
      <c r="B72" s="8" t="s">
        <v>39</v>
      </c>
      <c r="C72" s="8" t="s">
        <v>129</v>
      </c>
      <c r="D72" s="8" t="s">
        <v>417</v>
      </c>
      <c r="E72" s="8">
        <v>17.0</v>
      </c>
      <c r="F72" s="8"/>
      <c r="G72" s="8"/>
      <c r="H72" s="8" t="s">
        <v>436</v>
      </c>
    </row>
    <row r="73" ht="15.75" customHeight="1">
      <c r="A73" s="8" t="s">
        <v>128</v>
      </c>
      <c r="B73" s="8" t="s">
        <v>56</v>
      </c>
      <c r="C73" s="8" t="s">
        <v>418</v>
      </c>
      <c r="D73" s="8" t="s">
        <v>419</v>
      </c>
      <c r="E73" s="8">
        <v>17.0</v>
      </c>
      <c r="F73" s="8" t="s">
        <v>129</v>
      </c>
      <c r="G73" s="8" t="s">
        <v>417</v>
      </c>
      <c r="H73" s="8" t="s">
        <v>439</v>
      </c>
    </row>
    <row r="74" ht="15.75" customHeight="1">
      <c r="A74" s="8" t="s">
        <v>128</v>
      </c>
      <c r="B74" s="8" t="s">
        <v>56</v>
      </c>
      <c r="C74" s="8" t="s">
        <v>441</v>
      </c>
      <c r="D74" s="8" t="s">
        <v>442</v>
      </c>
      <c r="E74" s="8">
        <v>17.0</v>
      </c>
      <c r="F74" s="8" t="s">
        <v>129</v>
      </c>
      <c r="G74" s="8" t="s">
        <v>417</v>
      </c>
      <c r="H74" s="8" t="s">
        <v>445</v>
      </c>
    </row>
    <row r="75" ht="15.75" customHeight="1">
      <c r="A75" s="8" t="s">
        <v>128</v>
      </c>
      <c r="B75" s="8" t="s">
        <v>56</v>
      </c>
      <c r="C75" s="8" t="s">
        <v>446</v>
      </c>
      <c r="D75" s="8" t="s">
        <v>447</v>
      </c>
      <c r="E75" s="8">
        <v>18.0</v>
      </c>
      <c r="F75" s="8" t="s">
        <v>129</v>
      </c>
      <c r="G75" s="8" t="s">
        <v>417</v>
      </c>
      <c r="H75" s="8" t="s">
        <v>449</v>
      </c>
    </row>
    <row r="76" ht="15.75" customHeight="1">
      <c r="A76" s="8" t="s">
        <v>128</v>
      </c>
      <c r="B76" s="8" t="s">
        <v>56</v>
      </c>
      <c r="C76" s="8" t="s">
        <v>433</v>
      </c>
      <c r="D76" s="8" t="s">
        <v>435</v>
      </c>
      <c r="E76" s="8">
        <v>20.0</v>
      </c>
      <c r="F76" s="8" t="s">
        <v>129</v>
      </c>
      <c r="G76" s="8" t="s">
        <v>417</v>
      </c>
      <c r="H76" s="8" t="s">
        <v>453</v>
      </c>
    </row>
    <row r="77" ht="15.75" customHeight="1">
      <c r="A77" s="8" t="s">
        <v>128</v>
      </c>
      <c r="B77" s="8" t="s">
        <v>56</v>
      </c>
      <c r="C77" s="8" t="s">
        <v>443</v>
      </c>
      <c r="D77" s="8" t="s">
        <v>444</v>
      </c>
      <c r="E77" s="8">
        <v>22.0</v>
      </c>
      <c r="F77" s="8" t="s">
        <v>129</v>
      </c>
      <c r="G77" s="8" t="s">
        <v>417</v>
      </c>
      <c r="H77" s="8" t="s">
        <v>455</v>
      </c>
    </row>
    <row r="78" ht="15.75" customHeight="1">
      <c r="A78" s="8" t="s">
        <v>128</v>
      </c>
      <c r="B78" s="8" t="s">
        <v>56</v>
      </c>
      <c r="C78" s="8" t="s">
        <v>451</v>
      </c>
      <c r="D78" s="8" t="s">
        <v>452</v>
      </c>
      <c r="E78" s="8">
        <v>22.0</v>
      </c>
      <c r="F78" s="8" t="s">
        <v>129</v>
      </c>
      <c r="G78" s="8" t="s">
        <v>417</v>
      </c>
      <c r="H78" s="8" t="s">
        <v>461</v>
      </c>
    </row>
    <row r="79" ht="15.75" customHeight="1">
      <c r="A79" s="8" t="s">
        <v>128</v>
      </c>
      <c r="B79" s="8" t="s">
        <v>56</v>
      </c>
      <c r="C79" s="8" t="s">
        <v>458</v>
      </c>
      <c r="D79" s="8" t="s">
        <v>459</v>
      </c>
      <c r="E79" s="8">
        <v>23.0</v>
      </c>
      <c r="F79" s="8" t="s">
        <v>129</v>
      </c>
      <c r="G79" s="8" t="s">
        <v>417</v>
      </c>
      <c r="H79" s="8" t="s">
        <v>465</v>
      </c>
    </row>
    <row r="80" ht="15.75" customHeight="1">
      <c r="A80" s="8" t="s">
        <v>128</v>
      </c>
      <c r="B80" s="8" t="s">
        <v>56</v>
      </c>
      <c r="C80" s="8" t="s">
        <v>467</v>
      </c>
      <c r="D80" s="8" t="s">
        <v>470</v>
      </c>
      <c r="E80" s="8">
        <v>23.0</v>
      </c>
      <c r="F80" s="8" t="s">
        <v>129</v>
      </c>
      <c r="G80" s="8" t="s">
        <v>417</v>
      </c>
      <c r="H80" s="8" t="s">
        <v>472</v>
      </c>
    </row>
    <row r="81" ht="15.75" customHeight="1">
      <c r="A81" s="8" t="s">
        <v>128</v>
      </c>
      <c r="B81" s="8" t="s">
        <v>56</v>
      </c>
      <c r="C81" s="8" t="s">
        <v>474</v>
      </c>
      <c r="D81" s="8" t="s">
        <v>476</v>
      </c>
      <c r="E81" s="8">
        <v>25.0</v>
      </c>
      <c r="F81" s="8" t="s">
        <v>129</v>
      </c>
      <c r="G81" s="8" t="s">
        <v>417</v>
      </c>
      <c r="H81" s="8" t="s">
        <v>478</v>
      </c>
    </row>
    <row r="82" ht="15.75" customHeight="1">
      <c r="A82" s="8" t="s">
        <v>128</v>
      </c>
      <c r="B82" s="8" t="s">
        <v>56</v>
      </c>
      <c r="C82" s="8" t="s">
        <v>481</v>
      </c>
      <c r="D82" s="8" t="s">
        <v>483</v>
      </c>
      <c r="E82" s="8">
        <v>26.0</v>
      </c>
      <c r="F82" s="8" t="s">
        <v>129</v>
      </c>
      <c r="G82" s="8" t="s">
        <v>417</v>
      </c>
      <c r="H82" s="8" t="s">
        <v>485</v>
      </c>
    </row>
    <row r="83" ht="15.75" customHeight="1">
      <c r="A83" s="8" t="s">
        <v>128</v>
      </c>
      <c r="B83" s="8" t="s">
        <v>56</v>
      </c>
      <c r="C83" s="8" t="s">
        <v>488</v>
      </c>
      <c r="D83" s="8" t="s">
        <v>489</v>
      </c>
      <c r="E83" s="8">
        <v>27.0</v>
      </c>
      <c r="F83" s="8" t="s">
        <v>129</v>
      </c>
      <c r="G83" s="8" t="s">
        <v>417</v>
      </c>
      <c r="H83" s="8" t="s">
        <v>494</v>
      </c>
    </row>
    <row r="84" ht="15.75" customHeight="1">
      <c r="A84" s="8" t="s">
        <v>128</v>
      </c>
      <c r="B84" s="8" t="s">
        <v>39</v>
      </c>
      <c r="C84" s="8" t="s">
        <v>153</v>
      </c>
      <c r="D84" s="8" t="s">
        <v>182</v>
      </c>
      <c r="E84" s="8">
        <v>28.0</v>
      </c>
      <c r="F84" s="8"/>
      <c r="G84" s="8"/>
      <c r="H84" s="8" t="s">
        <v>499</v>
      </c>
    </row>
    <row r="85" ht="15.75" customHeight="1">
      <c r="A85" s="8" t="s">
        <v>128</v>
      </c>
      <c r="B85" s="8" t="s">
        <v>56</v>
      </c>
      <c r="C85" s="8" t="s">
        <v>503</v>
      </c>
      <c r="D85" s="8" t="s">
        <v>504</v>
      </c>
      <c r="E85" s="8">
        <v>28.0</v>
      </c>
      <c r="F85" s="8" t="s">
        <v>153</v>
      </c>
      <c r="G85" s="8" t="s">
        <v>182</v>
      </c>
      <c r="H85" s="8" t="s">
        <v>506</v>
      </c>
    </row>
    <row r="86" ht="15.75" customHeight="1">
      <c r="A86" s="8" t="s">
        <v>128</v>
      </c>
      <c r="B86" s="8" t="s">
        <v>56</v>
      </c>
      <c r="C86" s="8" t="s">
        <v>492</v>
      </c>
      <c r="D86" s="8" t="s">
        <v>493</v>
      </c>
      <c r="E86" s="8">
        <v>28.0</v>
      </c>
      <c r="F86" s="8" t="s">
        <v>153</v>
      </c>
      <c r="G86" s="8" t="s">
        <v>182</v>
      </c>
      <c r="H86" s="8" t="s">
        <v>512</v>
      </c>
    </row>
    <row r="87" ht="15.75" customHeight="1">
      <c r="A87" s="8" t="s">
        <v>128</v>
      </c>
      <c r="B87" s="8" t="s">
        <v>56</v>
      </c>
      <c r="C87" s="8" t="s">
        <v>500</v>
      </c>
      <c r="D87" s="8" t="s">
        <v>501</v>
      </c>
      <c r="E87" s="8">
        <v>29.0</v>
      </c>
      <c r="F87" s="8" t="s">
        <v>153</v>
      </c>
      <c r="G87" s="8" t="s">
        <v>182</v>
      </c>
      <c r="H87" s="8" t="s">
        <v>518</v>
      </c>
    </row>
    <row r="88" ht="15.75" customHeight="1">
      <c r="A88" s="8" t="s">
        <v>128</v>
      </c>
      <c r="B88" s="8" t="s">
        <v>56</v>
      </c>
      <c r="C88" s="8" t="s">
        <v>520</v>
      </c>
      <c r="D88" s="8" t="s">
        <v>521</v>
      </c>
      <c r="E88" s="8">
        <v>30.0</v>
      </c>
      <c r="F88" s="8" t="s">
        <v>153</v>
      </c>
      <c r="G88" s="8" t="s">
        <v>182</v>
      </c>
      <c r="H88" s="8" t="s">
        <v>524</v>
      </c>
    </row>
    <row r="89" ht="15.75" customHeight="1">
      <c r="A89" s="8" t="s">
        <v>128</v>
      </c>
      <c r="B89" s="8" t="s">
        <v>39</v>
      </c>
      <c r="C89" s="8" t="s">
        <v>181</v>
      </c>
      <c r="D89" s="8" t="s">
        <v>211</v>
      </c>
      <c r="E89" s="8">
        <v>31.0</v>
      </c>
      <c r="F89" s="8"/>
      <c r="G89" s="8"/>
      <c r="H89" s="8" t="s">
        <v>530</v>
      </c>
    </row>
    <row r="90" ht="15.75" customHeight="1">
      <c r="A90" s="8" t="s">
        <v>128</v>
      </c>
      <c r="B90" s="8" t="s">
        <v>56</v>
      </c>
      <c r="C90" s="8" t="s">
        <v>509</v>
      </c>
      <c r="D90" s="8" t="s">
        <v>511</v>
      </c>
      <c r="E90" s="8">
        <v>31.0</v>
      </c>
      <c r="F90" s="8" t="s">
        <v>181</v>
      </c>
      <c r="G90" s="8" t="s">
        <v>211</v>
      </c>
      <c r="H90" s="8" t="s">
        <v>533</v>
      </c>
    </row>
    <row r="91" ht="15.75" customHeight="1">
      <c r="A91" s="8" t="s">
        <v>128</v>
      </c>
      <c r="B91" s="8" t="s">
        <v>56</v>
      </c>
      <c r="C91" s="8" t="s">
        <v>534</v>
      </c>
      <c r="D91" s="8" t="s">
        <v>535</v>
      </c>
      <c r="E91" s="8">
        <v>32.0</v>
      </c>
      <c r="F91" s="8" t="s">
        <v>181</v>
      </c>
      <c r="G91" s="8" t="s">
        <v>211</v>
      </c>
      <c r="H91" s="8" t="s">
        <v>537</v>
      </c>
    </row>
    <row r="92" ht="15.75" customHeight="1">
      <c r="A92" s="8" t="s">
        <v>128</v>
      </c>
      <c r="B92" s="8" t="s">
        <v>56</v>
      </c>
      <c r="C92" s="8" t="s">
        <v>539</v>
      </c>
      <c r="D92" s="8" t="s">
        <v>540</v>
      </c>
      <c r="E92" s="8">
        <v>33.0</v>
      </c>
      <c r="F92" s="8" t="s">
        <v>181</v>
      </c>
      <c r="G92" s="8" t="s">
        <v>211</v>
      </c>
      <c r="H92" s="8" t="s">
        <v>542</v>
      </c>
    </row>
    <row r="93" ht="15.75" customHeight="1">
      <c r="A93" s="8" t="s">
        <v>128</v>
      </c>
      <c r="B93" s="8" t="s">
        <v>56</v>
      </c>
      <c r="C93" s="8" t="s">
        <v>543</v>
      </c>
      <c r="D93" s="8" t="s">
        <v>544</v>
      </c>
      <c r="E93" s="8">
        <v>33.0</v>
      </c>
      <c r="F93" s="8" t="s">
        <v>181</v>
      </c>
      <c r="G93" s="8" t="s">
        <v>211</v>
      </c>
      <c r="H93" s="8" t="s">
        <v>545</v>
      </c>
    </row>
    <row r="94" ht="15.75" customHeight="1">
      <c r="A94" s="8" t="s">
        <v>128</v>
      </c>
      <c r="B94" s="8" t="s">
        <v>39</v>
      </c>
      <c r="C94" s="8" t="s">
        <v>210</v>
      </c>
      <c r="D94" s="8" t="s">
        <v>243</v>
      </c>
      <c r="E94" s="8">
        <v>34.0</v>
      </c>
      <c r="F94" s="8"/>
      <c r="G94" s="8"/>
      <c r="H94" s="8" t="s">
        <v>548</v>
      </c>
    </row>
    <row r="95" ht="15.75" customHeight="1">
      <c r="A95" s="8" t="s">
        <v>128</v>
      </c>
      <c r="B95" s="8" t="s">
        <v>56</v>
      </c>
      <c r="C95" s="8" t="s">
        <v>550</v>
      </c>
      <c r="D95" s="8" t="s">
        <v>551</v>
      </c>
      <c r="E95" s="8">
        <v>34.0</v>
      </c>
      <c r="F95" s="8" t="s">
        <v>210</v>
      </c>
      <c r="G95" s="8" t="s">
        <v>243</v>
      </c>
      <c r="H95" s="8" t="s">
        <v>554</v>
      </c>
    </row>
    <row r="96" ht="15.75" customHeight="1">
      <c r="A96" s="8" t="s">
        <v>128</v>
      </c>
      <c r="B96" s="8" t="s">
        <v>56</v>
      </c>
      <c r="C96" s="8" t="s">
        <v>532</v>
      </c>
      <c r="D96" s="8" t="s">
        <v>247</v>
      </c>
      <c r="E96" s="8">
        <v>34.0</v>
      </c>
      <c r="F96" s="8" t="s">
        <v>210</v>
      </c>
      <c r="G96" s="8" t="s">
        <v>243</v>
      </c>
      <c r="H96" s="8" t="s">
        <v>559</v>
      </c>
    </row>
    <row r="97" ht="15.75" customHeight="1">
      <c r="A97" s="8" t="s">
        <v>128</v>
      </c>
      <c r="B97" s="8" t="s">
        <v>56</v>
      </c>
      <c r="C97" s="8" t="s">
        <v>541</v>
      </c>
      <c r="D97" s="8" t="s">
        <v>259</v>
      </c>
      <c r="E97" s="8">
        <v>35.0</v>
      </c>
      <c r="F97" s="8" t="s">
        <v>210</v>
      </c>
      <c r="G97" s="8" t="s">
        <v>243</v>
      </c>
      <c r="H97" s="8" t="s">
        <v>561</v>
      </c>
    </row>
    <row r="98" ht="15.75" customHeight="1">
      <c r="A98" s="8" t="s">
        <v>128</v>
      </c>
      <c r="B98" s="8" t="s">
        <v>39</v>
      </c>
      <c r="C98" s="8" t="s">
        <v>241</v>
      </c>
      <c r="D98" s="8" t="s">
        <v>264</v>
      </c>
      <c r="E98" s="8">
        <v>36.0</v>
      </c>
      <c r="F98" s="8"/>
      <c r="G98" s="8"/>
      <c r="H98" s="8" t="s">
        <v>566</v>
      </c>
    </row>
    <row r="99" ht="15.75" customHeight="1">
      <c r="A99" s="8" t="s">
        <v>128</v>
      </c>
      <c r="B99" s="8" t="s">
        <v>56</v>
      </c>
      <c r="C99" s="8"/>
      <c r="D99" s="8" t="s">
        <v>569</v>
      </c>
      <c r="E99" s="8">
        <v>36.0</v>
      </c>
      <c r="F99" s="8" t="s">
        <v>241</v>
      </c>
      <c r="G99" s="8" t="s">
        <v>264</v>
      </c>
      <c r="H99" s="8" t="s">
        <v>572</v>
      </c>
    </row>
    <row r="100" ht="15.75" customHeight="1">
      <c r="A100" s="8" t="s">
        <v>128</v>
      </c>
      <c r="B100" s="8" t="s">
        <v>39</v>
      </c>
      <c r="C100" s="8" t="s">
        <v>263</v>
      </c>
      <c r="D100" s="8" t="s">
        <v>285</v>
      </c>
      <c r="E100" s="8">
        <v>38.0</v>
      </c>
      <c r="F100" s="8"/>
      <c r="G100" s="8"/>
      <c r="H100" s="8" t="s">
        <v>577</v>
      </c>
    </row>
    <row r="101" ht="15.75" customHeight="1">
      <c r="A101" s="8" t="s">
        <v>128</v>
      </c>
      <c r="B101" s="8" t="s">
        <v>39</v>
      </c>
      <c r="C101" s="8" t="s">
        <v>272</v>
      </c>
      <c r="D101" s="8" t="s">
        <v>567</v>
      </c>
      <c r="E101" s="8">
        <v>40.0</v>
      </c>
      <c r="F101" s="8"/>
      <c r="G101" s="8"/>
      <c r="H101" s="8" t="s">
        <v>580</v>
      </c>
    </row>
    <row r="102" ht="15.75" customHeight="1">
      <c r="A102" s="8" t="s">
        <v>128</v>
      </c>
      <c r="B102" s="8" t="s">
        <v>39</v>
      </c>
      <c r="C102" s="8" t="s">
        <v>284</v>
      </c>
      <c r="D102" s="8" t="s">
        <v>579</v>
      </c>
      <c r="E102" s="8">
        <v>42.0</v>
      </c>
      <c r="F102" s="8"/>
      <c r="G102" s="8"/>
      <c r="H102" s="8" t="s">
        <v>583</v>
      </c>
    </row>
    <row r="103" ht="15.75" customHeight="1">
      <c r="A103" s="8" t="s">
        <v>128</v>
      </c>
      <c r="B103" s="8" t="s">
        <v>39</v>
      </c>
      <c r="C103" s="8" t="s">
        <v>292</v>
      </c>
      <c r="D103" s="8" t="s">
        <v>305</v>
      </c>
      <c r="E103" s="8">
        <v>42.0</v>
      </c>
      <c r="F103" s="8"/>
      <c r="G103" s="8"/>
      <c r="H103" s="8" t="s">
        <v>587</v>
      </c>
    </row>
    <row r="104" ht="15.75" customHeight="1">
      <c r="A104" s="8" t="s">
        <v>128</v>
      </c>
      <c r="B104" s="8" t="s">
        <v>39</v>
      </c>
      <c r="C104" s="8" t="s">
        <v>292</v>
      </c>
      <c r="D104" s="8" t="s">
        <v>305</v>
      </c>
      <c r="E104" s="8">
        <v>43.0</v>
      </c>
      <c r="F104" s="8"/>
      <c r="G104" s="8"/>
      <c r="H104" s="8" t="s">
        <v>588</v>
      </c>
    </row>
    <row r="105" ht="15.75" customHeight="1">
      <c r="A105" s="8" t="s">
        <v>128</v>
      </c>
      <c r="B105" s="8" t="s">
        <v>56</v>
      </c>
      <c r="C105" s="8" t="s">
        <v>585</v>
      </c>
      <c r="D105" s="8" t="s">
        <v>586</v>
      </c>
      <c r="E105" s="8">
        <v>43.0</v>
      </c>
      <c r="F105" s="8" t="s">
        <v>292</v>
      </c>
      <c r="G105" s="8" t="s">
        <v>305</v>
      </c>
      <c r="H105" s="8" t="s">
        <v>590</v>
      </c>
    </row>
    <row r="106" ht="15.75" customHeight="1">
      <c r="A106" s="8" t="s">
        <v>128</v>
      </c>
      <c r="B106" s="8" t="s">
        <v>56</v>
      </c>
      <c r="C106" s="8" t="s">
        <v>591</v>
      </c>
      <c r="D106" s="8" t="s">
        <v>592</v>
      </c>
      <c r="E106" s="8">
        <v>43.0</v>
      </c>
      <c r="F106" s="8" t="s">
        <v>292</v>
      </c>
      <c r="G106" s="8" t="s">
        <v>305</v>
      </c>
      <c r="H106" s="8" t="s">
        <v>594</v>
      </c>
    </row>
    <row r="107" ht="15.75" customHeight="1">
      <c r="A107" s="8" t="s">
        <v>128</v>
      </c>
      <c r="B107" s="8" t="s">
        <v>56</v>
      </c>
      <c r="C107" s="8" t="s">
        <v>595</v>
      </c>
      <c r="D107" s="8" t="s">
        <v>596</v>
      </c>
      <c r="E107" s="8">
        <v>44.0</v>
      </c>
      <c r="F107" s="8" t="s">
        <v>292</v>
      </c>
      <c r="G107" s="8" t="s">
        <v>305</v>
      </c>
      <c r="H107" s="8" t="s">
        <v>597</v>
      </c>
    </row>
    <row r="108" ht="15.75" customHeight="1">
      <c r="A108" s="8" t="s">
        <v>128</v>
      </c>
      <c r="B108" s="8" t="s">
        <v>39</v>
      </c>
      <c r="C108" s="8" t="s">
        <v>303</v>
      </c>
      <c r="D108" s="8" t="s">
        <v>339</v>
      </c>
      <c r="E108" s="8">
        <v>46.0</v>
      </c>
      <c r="F108" s="8"/>
      <c r="G108" s="8"/>
      <c r="H108" s="8" t="s">
        <v>598</v>
      </c>
    </row>
    <row r="109" ht="15.75" customHeight="1">
      <c r="A109" s="8" t="s">
        <v>128</v>
      </c>
      <c r="B109" s="8" t="s">
        <v>56</v>
      </c>
      <c r="C109" s="8" t="s">
        <v>599</v>
      </c>
      <c r="D109" s="8" t="s">
        <v>600</v>
      </c>
      <c r="E109" s="8">
        <v>46.0</v>
      </c>
      <c r="F109" s="8" t="s">
        <v>303</v>
      </c>
      <c r="G109" s="8" t="s">
        <v>339</v>
      </c>
      <c r="H109" s="8" t="s">
        <v>602</v>
      </c>
    </row>
    <row r="110" ht="15.75" customHeight="1">
      <c r="A110" s="8" t="s">
        <v>128</v>
      </c>
      <c r="B110" s="8" t="s">
        <v>56</v>
      </c>
      <c r="C110" s="8" t="s">
        <v>603</v>
      </c>
      <c r="D110" s="8" t="s">
        <v>604</v>
      </c>
      <c r="E110" s="8">
        <v>46.0</v>
      </c>
      <c r="F110" s="8" t="s">
        <v>303</v>
      </c>
      <c r="G110" s="8" t="s">
        <v>339</v>
      </c>
      <c r="H110" s="8" t="s">
        <v>607</v>
      </c>
    </row>
    <row r="111" ht="15.75" customHeight="1">
      <c r="A111" s="8" t="s">
        <v>128</v>
      </c>
      <c r="B111" s="8" t="s">
        <v>56</v>
      </c>
      <c r="C111" s="8" t="s">
        <v>608</v>
      </c>
      <c r="D111" s="8" t="s">
        <v>609</v>
      </c>
      <c r="E111" s="8">
        <v>46.0</v>
      </c>
      <c r="F111" s="8" t="s">
        <v>303</v>
      </c>
      <c r="G111" s="8" t="s">
        <v>339</v>
      </c>
      <c r="H111" s="8" t="s">
        <v>611</v>
      </c>
    </row>
    <row r="112" ht="15.75" customHeight="1">
      <c r="A112" s="8" t="s">
        <v>128</v>
      </c>
      <c r="B112" s="8" t="s">
        <v>39</v>
      </c>
      <c r="C112" s="8" t="s">
        <v>344</v>
      </c>
      <c r="D112" s="8" t="s">
        <v>345</v>
      </c>
      <c r="E112" s="8">
        <v>47.0</v>
      </c>
      <c r="F112" s="8"/>
      <c r="G112" s="8"/>
      <c r="H112" s="8" t="s">
        <v>614</v>
      </c>
    </row>
    <row r="113" ht="15.75" customHeight="1">
      <c r="A113" s="8" t="s">
        <v>128</v>
      </c>
      <c r="B113" s="8" t="s">
        <v>39</v>
      </c>
      <c r="C113" s="8" t="s">
        <v>277</v>
      </c>
      <c r="D113" s="8" t="s">
        <v>606</v>
      </c>
      <c r="E113" s="8">
        <v>49.0</v>
      </c>
      <c r="F113" s="8"/>
      <c r="G113" s="8"/>
      <c r="H113" s="8" t="s">
        <v>616</v>
      </c>
    </row>
    <row r="114" ht="15.75" customHeight="1">
      <c r="A114" s="8" t="s">
        <v>128</v>
      </c>
      <c r="B114" s="8" t="s">
        <v>39</v>
      </c>
      <c r="C114" s="8" t="s">
        <v>334</v>
      </c>
      <c r="D114" s="8" t="s">
        <v>613</v>
      </c>
      <c r="E114" s="8">
        <v>51.0</v>
      </c>
      <c r="F114" s="8"/>
      <c r="G114" s="8"/>
      <c r="H114" s="8" t="s">
        <v>619</v>
      </c>
    </row>
    <row r="115" ht="15.75" customHeight="1">
      <c r="A115" s="8" t="s">
        <v>128</v>
      </c>
      <c r="B115" s="8" t="s">
        <v>39</v>
      </c>
      <c r="C115" s="8" t="s">
        <v>341</v>
      </c>
      <c r="D115" s="8" t="s">
        <v>618</v>
      </c>
      <c r="E115" s="8">
        <v>53.0</v>
      </c>
      <c r="F115" s="8"/>
      <c r="G115" s="8"/>
      <c r="H115" s="8" t="s">
        <v>621</v>
      </c>
    </row>
    <row r="116" ht="15.75" customHeight="1">
      <c r="A116" s="8" t="s">
        <v>158</v>
      </c>
      <c r="B116" s="8" t="s">
        <v>39</v>
      </c>
      <c r="C116" s="8" t="s">
        <v>42</v>
      </c>
      <c r="D116" s="8" t="s">
        <v>44</v>
      </c>
      <c r="E116" s="8">
        <v>4.0</v>
      </c>
      <c r="F116" s="8"/>
      <c r="G116" s="8"/>
      <c r="H116" s="8" t="s">
        <v>54</v>
      </c>
    </row>
    <row r="117" ht="15.75" customHeight="1">
      <c r="A117" s="8" t="s">
        <v>158</v>
      </c>
      <c r="B117" s="8" t="s">
        <v>39</v>
      </c>
      <c r="C117" s="8" t="s">
        <v>83</v>
      </c>
      <c r="D117" s="8" t="s">
        <v>363</v>
      </c>
      <c r="E117" s="8">
        <v>8.0</v>
      </c>
      <c r="F117" s="8"/>
      <c r="G117" s="8"/>
      <c r="H117" s="8" t="s">
        <v>370</v>
      </c>
    </row>
    <row r="118" ht="15.75" customHeight="1">
      <c r="A118" s="8" t="s">
        <v>158</v>
      </c>
      <c r="B118" s="8" t="s">
        <v>39</v>
      </c>
      <c r="C118" s="8" t="s">
        <v>124</v>
      </c>
      <c r="D118" s="8" t="s">
        <v>623</v>
      </c>
      <c r="E118" s="8">
        <v>11.0</v>
      </c>
      <c r="F118" s="8"/>
      <c r="G118" s="8"/>
      <c r="H118" s="8" t="s">
        <v>624</v>
      </c>
    </row>
    <row r="119" ht="15.75" customHeight="1">
      <c r="A119" s="8" t="s">
        <v>158</v>
      </c>
      <c r="B119" s="8" t="s">
        <v>56</v>
      </c>
      <c r="C119" s="8"/>
      <c r="D119" s="8" t="s">
        <v>625</v>
      </c>
      <c r="E119" s="8">
        <v>11.0</v>
      </c>
      <c r="F119" s="8" t="s">
        <v>124</v>
      </c>
      <c r="G119" s="8" t="s">
        <v>623</v>
      </c>
      <c r="H119" s="8" t="s">
        <v>626</v>
      </c>
    </row>
    <row r="120" ht="15.75" customHeight="1">
      <c r="A120" s="8" t="s">
        <v>158</v>
      </c>
      <c r="B120" s="8" t="s">
        <v>56</v>
      </c>
      <c r="C120" s="8"/>
      <c r="D120" s="8" t="s">
        <v>627</v>
      </c>
      <c r="E120" s="8">
        <v>11.0</v>
      </c>
      <c r="F120" s="8" t="s">
        <v>124</v>
      </c>
      <c r="G120" s="8" t="s">
        <v>623</v>
      </c>
      <c r="H120" s="8" t="s">
        <v>629</v>
      </c>
    </row>
    <row r="121" ht="15.75" customHeight="1">
      <c r="A121" s="8" t="s">
        <v>158</v>
      </c>
      <c r="B121" s="8" t="s">
        <v>56</v>
      </c>
      <c r="C121" s="8"/>
      <c r="D121" s="8" t="s">
        <v>393</v>
      </c>
      <c r="E121" s="8">
        <v>13.0</v>
      </c>
      <c r="F121" s="8" t="s">
        <v>124</v>
      </c>
      <c r="G121" s="8" t="s">
        <v>623</v>
      </c>
      <c r="H121" s="8" t="s">
        <v>630</v>
      </c>
    </row>
    <row r="122" ht="15.75" customHeight="1">
      <c r="A122" s="8" t="s">
        <v>158</v>
      </c>
      <c r="B122" s="8" t="s">
        <v>56</v>
      </c>
      <c r="C122" s="8"/>
      <c r="D122" s="8" t="s">
        <v>632</v>
      </c>
      <c r="E122" s="8">
        <v>13.0</v>
      </c>
      <c r="F122" s="8" t="s">
        <v>124</v>
      </c>
      <c r="G122" s="8" t="s">
        <v>623</v>
      </c>
      <c r="H122" s="8" t="s">
        <v>633</v>
      </c>
    </row>
    <row r="123" ht="15.75" customHeight="1">
      <c r="A123" s="8" t="s">
        <v>158</v>
      </c>
      <c r="B123" s="8" t="s">
        <v>56</v>
      </c>
      <c r="C123" s="8"/>
      <c r="D123" s="8" t="s">
        <v>635</v>
      </c>
      <c r="E123" s="8">
        <v>14.0</v>
      </c>
      <c r="F123" s="8" t="s">
        <v>124</v>
      </c>
      <c r="G123" s="8" t="s">
        <v>623</v>
      </c>
      <c r="H123" s="8" t="s">
        <v>636</v>
      </c>
    </row>
    <row r="124" ht="15.75" customHeight="1">
      <c r="A124" s="8" t="s">
        <v>158</v>
      </c>
      <c r="B124" s="8" t="s">
        <v>39</v>
      </c>
      <c r="C124" s="8" t="s">
        <v>129</v>
      </c>
      <c r="D124" s="8" t="s">
        <v>638</v>
      </c>
      <c r="E124" s="8">
        <v>16.0</v>
      </c>
      <c r="F124" s="8"/>
      <c r="G124" s="8"/>
      <c r="H124" s="8" t="s">
        <v>639</v>
      </c>
    </row>
    <row r="125" ht="15.75" customHeight="1">
      <c r="A125" s="8" t="s">
        <v>158</v>
      </c>
      <c r="B125" s="8" t="s">
        <v>56</v>
      </c>
      <c r="C125" s="8"/>
      <c r="D125" s="8" t="s">
        <v>640</v>
      </c>
      <c r="E125" s="8">
        <v>16.0</v>
      </c>
      <c r="F125" s="8" t="s">
        <v>129</v>
      </c>
      <c r="G125" s="8" t="s">
        <v>638</v>
      </c>
      <c r="H125" s="8" t="s">
        <v>641</v>
      </c>
    </row>
    <row r="126" ht="15.75" customHeight="1">
      <c r="A126" s="8" t="s">
        <v>158</v>
      </c>
      <c r="B126" s="8" t="s">
        <v>56</v>
      </c>
      <c r="C126" s="8"/>
      <c r="D126" s="8" t="s">
        <v>643</v>
      </c>
      <c r="E126" s="8">
        <v>17.0</v>
      </c>
      <c r="F126" s="8" t="s">
        <v>129</v>
      </c>
      <c r="G126" s="8" t="s">
        <v>638</v>
      </c>
      <c r="H126" s="8" t="s">
        <v>645</v>
      </c>
    </row>
    <row r="127" ht="15.75" customHeight="1">
      <c r="A127" s="8" t="s">
        <v>158</v>
      </c>
      <c r="B127" s="8" t="s">
        <v>56</v>
      </c>
      <c r="C127" s="8"/>
      <c r="D127" s="8" t="s">
        <v>646</v>
      </c>
      <c r="E127" s="8">
        <v>18.0</v>
      </c>
      <c r="F127" s="8" t="s">
        <v>129</v>
      </c>
      <c r="G127" s="8" t="s">
        <v>638</v>
      </c>
      <c r="H127" s="8" t="s">
        <v>647</v>
      </c>
    </row>
    <row r="128" ht="15.75" customHeight="1">
      <c r="A128" s="8" t="s">
        <v>158</v>
      </c>
      <c r="B128" s="8" t="s">
        <v>56</v>
      </c>
      <c r="C128" s="8"/>
      <c r="D128" s="8" t="s">
        <v>649</v>
      </c>
      <c r="E128" s="8">
        <v>19.0</v>
      </c>
      <c r="F128" s="8" t="s">
        <v>129</v>
      </c>
      <c r="G128" s="8" t="s">
        <v>638</v>
      </c>
      <c r="H128" s="8" t="s">
        <v>651</v>
      </c>
    </row>
    <row r="129" ht="15.75" customHeight="1">
      <c r="A129" s="8" t="s">
        <v>158</v>
      </c>
      <c r="B129" s="8" t="s">
        <v>56</v>
      </c>
      <c r="C129" s="8"/>
      <c r="D129" s="8" t="s">
        <v>652</v>
      </c>
      <c r="E129" s="8">
        <v>19.0</v>
      </c>
      <c r="F129" s="8" t="s">
        <v>129</v>
      </c>
      <c r="G129" s="8" t="s">
        <v>638</v>
      </c>
      <c r="H129" s="8" t="s">
        <v>653</v>
      </c>
    </row>
    <row r="130" ht="15.75" customHeight="1">
      <c r="A130" s="8" t="s">
        <v>158</v>
      </c>
      <c r="B130" s="8" t="s">
        <v>39</v>
      </c>
      <c r="C130" s="8" t="s">
        <v>654</v>
      </c>
      <c r="D130" s="8" t="s">
        <v>655</v>
      </c>
      <c r="E130" s="8">
        <v>21.0</v>
      </c>
      <c r="F130" s="8"/>
      <c r="G130" s="8"/>
      <c r="H130" s="8" t="s">
        <v>657</v>
      </c>
    </row>
    <row r="131" ht="15.75" customHeight="1">
      <c r="A131" s="8" t="s">
        <v>158</v>
      </c>
      <c r="B131" s="8" t="s">
        <v>39</v>
      </c>
      <c r="C131" s="8" t="s">
        <v>153</v>
      </c>
      <c r="D131" s="8" t="s">
        <v>658</v>
      </c>
      <c r="E131" s="8">
        <v>22.0</v>
      </c>
      <c r="F131" s="8"/>
      <c r="G131" s="8"/>
      <c r="H131" s="8" t="s">
        <v>660</v>
      </c>
    </row>
    <row r="132" ht="15.75" customHeight="1">
      <c r="A132" s="8" t="s">
        <v>158</v>
      </c>
      <c r="B132" s="8" t="s">
        <v>56</v>
      </c>
      <c r="C132" s="8"/>
      <c r="D132" s="8" t="s">
        <v>504</v>
      </c>
      <c r="E132" s="8">
        <v>22.0</v>
      </c>
      <c r="F132" s="8" t="s">
        <v>153</v>
      </c>
      <c r="G132" s="8" t="s">
        <v>658</v>
      </c>
      <c r="H132" s="8" t="s">
        <v>661</v>
      </c>
    </row>
    <row r="133" ht="15.75" customHeight="1">
      <c r="A133" s="8" t="s">
        <v>158</v>
      </c>
      <c r="B133" s="8" t="s">
        <v>56</v>
      </c>
      <c r="C133" s="8"/>
      <c r="D133" s="8" t="s">
        <v>493</v>
      </c>
      <c r="E133" s="8">
        <v>22.0</v>
      </c>
      <c r="F133" s="8" t="s">
        <v>153</v>
      </c>
      <c r="G133" s="8" t="s">
        <v>658</v>
      </c>
      <c r="H133" s="8" t="s">
        <v>662</v>
      </c>
    </row>
    <row r="134" ht="15.75" customHeight="1">
      <c r="A134" s="8" t="s">
        <v>158</v>
      </c>
      <c r="B134" s="8" t="s">
        <v>56</v>
      </c>
      <c r="C134" s="8"/>
      <c r="D134" s="8" t="s">
        <v>663</v>
      </c>
      <c r="E134" s="8">
        <v>23.0</v>
      </c>
      <c r="F134" s="8" t="s">
        <v>153</v>
      </c>
      <c r="G134" s="8" t="s">
        <v>658</v>
      </c>
      <c r="H134" s="8" t="s">
        <v>664</v>
      </c>
    </row>
    <row r="135" ht="15.75" customHeight="1">
      <c r="A135" s="8" t="s">
        <v>158</v>
      </c>
      <c r="B135" s="8" t="s">
        <v>56</v>
      </c>
      <c r="C135" s="8"/>
      <c r="D135" s="8" t="s">
        <v>666</v>
      </c>
      <c r="E135" s="8">
        <v>24.0</v>
      </c>
      <c r="F135" s="8" t="s">
        <v>153</v>
      </c>
      <c r="G135" s="8" t="s">
        <v>658</v>
      </c>
      <c r="H135" s="8" t="s">
        <v>670</v>
      </c>
    </row>
    <row r="136" ht="15.75" customHeight="1">
      <c r="A136" s="8" t="s">
        <v>158</v>
      </c>
      <c r="B136" s="8" t="s">
        <v>39</v>
      </c>
      <c r="C136" s="8" t="s">
        <v>181</v>
      </c>
      <c r="D136" s="8" t="s">
        <v>671</v>
      </c>
      <c r="E136" s="8">
        <v>25.0</v>
      </c>
      <c r="F136" s="8"/>
      <c r="G136" s="8"/>
      <c r="H136" s="8" t="s">
        <v>672</v>
      </c>
    </row>
    <row r="137" ht="15.75" customHeight="1">
      <c r="A137" s="8" t="s">
        <v>158</v>
      </c>
      <c r="B137" s="8" t="s">
        <v>56</v>
      </c>
      <c r="C137" s="8"/>
      <c r="D137" s="8" t="s">
        <v>673</v>
      </c>
      <c r="E137" s="8">
        <v>25.0</v>
      </c>
      <c r="F137" s="8" t="s">
        <v>181</v>
      </c>
      <c r="G137" s="8" t="s">
        <v>671</v>
      </c>
      <c r="H137" s="8" t="s">
        <v>675</v>
      </c>
    </row>
    <row r="138" ht="15.75" customHeight="1">
      <c r="A138" s="8" t="s">
        <v>158</v>
      </c>
      <c r="B138" s="8" t="s">
        <v>56</v>
      </c>
      <c r="C138" s="8"/>
      <c r="D138" s="8" t="s">
        <v>677</v>
      </c>
      <c r="E138" s="8">
        <v>26.0</v>
      </c>
      <c r="F138" s="8" t="s">
        <v>181</v>
      </c>
      <c r="G138" s="8" t="s">
        <v>671</v>
      </c>
      <c r="H138" s="8" t="s">
        <v>678</v>
      </c>
    </row>
    <row r="139" ht="15.75" customHeight="1">
      <c r="A139" s="8" t="s">
        <v>158</v>
      </c>
      <c r="B139" s="8" t="s">
        <v>56</v>
      </c>
      <c r="C139" s="8"/>
      <c r="D139" s="8" t="s">
        <v>679</v>
      </c>
      <c r="E139" s="8">
        <v>26.0</v>
      </c>
      <c r="F139" s="8" t="s">
        <v>181</v>
      </c>
      <c r="G139" s="8" t="s">
        <v>671</v>
      </c>
      <c r="H139" s="8" t="s">
        <v>680</v>
      </c>
    </row>
    <row r="140" ht="15.75" customHeight="1">
      <c r="A140" s="8" t="s">
        <v>158</v>
      </c>
      <c r="B140" s="8" t="s">
        <v>56</v>
      </c>
      <c r="C140" s="8"/>
      <c r="D140" s="8" t="s">
        <v>682</v>
      </c>
      <c r="E140" s="8">
        <v>27.0</v>
      </c>
      <c r="F140" s="8" t="s">
        <v>181</v>
      </c>
      <c r="G140" s="8" t="s">
        <v>671</v>
      </c>
      <c r="H140" s="8" t="s">
        <v>683</v>
      </c>
    </row>
    <row r="141" ht="15.75" customHeight="1">
      <c r="A141" s="8" t="s">
        <v>158</v>
      </c>
      <c r="B141" s="8" t="s">
        <v>39</v>
      </c>
      <c r="C141" s="8" t="s">
        <v>210</v>
      </c>
      <c r="D141" s="8" t="s">
        <v>684</v>
      </c>
      <c r="E141" s="8">
        <v>28.0</v>
      </c>
      <c r="F141" s="8"/>
      <c r="G141" s="8"/>
      <c r="H141" s="8" t="s">
        <v>685</v>
      </c>
    </row>
    <row r="142" ht="15.75" customHeight="1">
      <c r="A142" s="8" t="s">
        <v>158</v>
      </c>
      <c r="B142" s="8" t="s">
        <v>56</v>
      </c>
      <c r="C142" s="8"/>
      <c r="D142" s="8" t="s">
        <v>551</v>
      </c>
      <c r="E142" s="8">
        <v>28.0</v>
      </c>
      <c r="F142" s="8" t="s">
        <v>210</v>
      </c>
      <c r="G142" s="8" t="s">
        <v>684</v>
      </c>
      <c r="H142" s="8" t="s">
        <v>687</v>
      </c>
    </row>
    <row r="143" ht="15.75" customHeight="1">
      <c r="A143" s="8" t="s">
        <v>158</v>
      </c>
      <c r="B143" s="8" t="s">
        <v>56</v>
      </c>
      <c r="C143" s="8"/>
      <c r="D143" s="8" t="s">
        <v>689</v>
      </c>
      <c r="E143" s="8">
        <v>28.0</v>
      </c>
      <c r="F143" s="8" t="s">
        <v>210</v>
      </c>
      <c r="G143" s="8" t="s">
        <v>684</v>
      </c>
      <c r="H143" s="8" t="s">
        <v>690</v>
      </c>
    </row>
    <row r="144" ht="15.75" customHeight="1">
      <c r="A144" s="8" t="s">
        <v>158</v>
      </c>
      <c r="B144" s="8" t="s">
        <v>56</v>
      </c>
      <c r="C144" s="8"/>
      <c r="D144" s="8" t="s">
        <v>259</v>
      </c>
      <c r="E144" s="8">
        <v>29.0</v>
      </c>
      <c r="F144" s="8" t="s">
        <v>210</v>
      </c>
      <c r="G144" s="8" t="s">
        <v>684</v>
      </c>
      <c r="H144" s="8" t="s">
        <v>691</v>
      </c>
    </row>
    <row r="145" ht="15.75" customHeight="1">
      <c r="A145" s="8" t="s">
        <v>158</v>
      </c>
      <c r="B145" s="8" t="s">
        <v>39</v>
      </c>
      <c r="C145" s="8" t="s">
        <v>241</v>
      </c>
      <c r="D145" s="8" t="s">
        <v>693</v>
      </c>
      <c r="E145" s="8">
        <v>30.0</v>
      </c>
      <c r="F145" s="8"/>
      <c r="G145" s="8"/>
      <c r="H145" s="8" t="s">
        <v>698</v>
      </c>
    </row>
    <row r="146" ht="15.75" customHeight="1">
      <c r="A146" s="8" t="s">
        <v>158</v>
      </c>
      <c r="B146" s="8" t="s">
        <v>39</v>
      </c>
      <c r="C146" s="8" t="s">
        <v>263</v>
      </c>
      <c r="D146" s="8" t="s">
        <v>285</v>
      </c>
      <c r="E146" s="8">
        <v>32.0</v>
      </c>
      <c r="F146" s="8"/>
      <c r="G146" s="8"/>
      <c r="H146" s="8" t="s">
        <v>699</v>
      </c>
    </row>
    <row r="147" ht="15.75" customHeight="1">
      <c r="A147" s="8" t="s">
        <v>158</v>
      </c>
      <c r="B147" s="8" t="s">
        <v>39</v>
      </c>
      <c r="C147" s="8" t="s">
        <v>272</v>
      </c>
      <c r="D147" s="8" t="s">
        <v>567</v>
      </c>
      <c r="E147" s="8">
        <v>34.0</v>
      </c>
      <c r="F147" s="8"/>
      <c r="G147" s="8"/>
      <c r="H147" s="8" t="s">
        <v>701</v>
      </c>
    </row>
    <row r="148" ht="15.75" customHeight="1">
      <c r="A148" s="8" t="s">
        <v>158</v>
      </c>
      <c r="B148" s="8" t="s">
        <v>39</v>
      </c>
      <c r="C148" s="8" t="s">
        <v>284</v>
      </c>
      <c r="D148" s="8" t="s">
        <v>702</v>
      </c>
      <c r="E148" s="8">
        <v>35.0</v>
      </c>
      <c r="F148" s="8"/>
      <c r="G148" s="8"/>
      <c r="H148" s="8" t="s">
        <v>703</v>
      </c>
    </row>
    <row r="149" ht="15.75" customHeight="1">
      <c r="A149" s="8" t="s">
        <v>158</v>
      </c>
      <c r="B149" s="8" t="s">
        <v>39</v>
      </c>
      <c r="C149" s="8" t="s">
        <v>292</v>
      </c>
      <c r="D149" s="8" t="s">
        <v>305</v>
      </c>
      <c r="E149" s="8">
        <v>36.0</v>
      </c>
      <c r="F149" s="8"/>
      <c r="G149" s="8"/>
      <c r="H149" s="8" t="s">
        <v>704</v>
      </c>
    </row>
    <row r="150" ht="15.75" customHeight="1">
      <c r="A150" s="8" t="s">
        <v>158</v>
      </c>
      <c r="B150" s="8" t="s">
        <v>39</v>
      </c>
      <c r="C150" s="8" t="s">
        <v>303</v>
      </c>
      <c r="D150" s="8" t="s">
        <v>319</v>
      </c>
      <c r="E150" s="8">
        <v>38.0</v>
      </c>
      <c r="F150" s="8"/>
      <c r="G150" s="8"/>
      <c r="H150" s="8" t="s">
        <v>707</v>
      </c>
    </row>
    <row r="151" ht="15.75" customHeight="1">
      <c r="A151" s="8" t="s">
        <v>158</v>
      </c>
      <c r="B151" s="8" t="s">
        <v>39</v>
      </c>
      <c r="C151" s="8" t="s">
        <v>318</v>
      </c>
      <c r="D151" s="8" t="s">
        <v>339</v>
      </c>
      <c r="E151" s="8">
        <v>38.0</v>
      </c>
      <c r="F151" s="8"/>
      <c r="G151" s="8"/>
      <c r="H151" s="8" t="s">
        <v>711</v>
      </c>
    </row>
    <row r="152" ht="15.75" customHeight="1">
      <c r="A152" s="8" t="s">
        <v>158</v>
      </c>
      <c r="B152" s="8" t="s">
        <v>39</v>
      </c>
      <c r="C152" s="8" t="s">
        <v>277</v>
      </c>
      <c r="D152" s="8" t="s">
        <v>713</v>
      </c>
      <c r="E152" s="8">
        <v>41.0</v>
      </c>
      <c r="F152" s="8"/>
      <c r="G152" s="8"/>
      <c r="H152" s="8" t="s">
        <v>717</v>
      </c>
    </row>
    <row r="153" ht="15.75" customHeight="1">
      <c r="A153" s="8" t="s">
        <v>158</v>
      </c>
      <c r="B153" s="8" t="s">
        <v>39</v>
      </c>
      <c r="C153" s="8" t="s">
        <v>334</v>
      </c>
      <c r="D153" s="8" t="s">
        <v>723</v>
      </c>
      <c r="E153" s="8">
        <v>42.0</v>
      </c>
      <c r="F153" s="8"/>
      <c r="G153" s="8"/>
      <c r="H153" s="8" t="s">
        <v>729</v>
      </c>
    </row>
    <row r="154" ht="15.75" customHeight="1">
      <c r="A154" s="8" t="s">
        <v>158</v>
      </c>
      <c r="B154" s="8" t="s">
        <v>39</v>
      </c>
      <c r="C154" s="8" t="s">
        <v>341</v>
      </c>
      <c r="D154" s="8" t="s">
        <v>618</v>
      </c>
      <c r="E154" s="8">
        <v>43.0</v>
      </c>
      <c r="F154" s="8"/>
      <c r="G154" s="8"/>
      <c r="H154" s="8" t="s">
        <v>738</v>
      </c>
    </row>
    <row r="155" ht="15.75" customHeight="1">
      <c r="A155" s="8" t="s">
        <v>158</v>
      </c>
      <c r="B155" s="8" t="s">
        <v>39</v>
      </c>
      <c r="C155" s="8" t="s">
        <v>344</v>
      </c>
      <c r="D155" s="8" t="s">
        <v>345</v>
      </c>
      <c r="E155" s="8">
        <v>43.0</v>
      </c>
      <c r="F155" s="8"/>
      <c r="G155" s="8"/>
      <c r="H155" s="8" t="s">
        <v>742</v>
      </c>
    </row>
    <row r="156" ht="15.75" customHeight="1">
      <c r="A156" s="8" t="s">
        <v>184</v>
      </c>
      <c r="B156" s="8" t="s">
        <v>39</v>
      </c>
      <c r="C156" s="8" t="s">
        <v>42</v>
      </c>
      <c r="D156" s="8" t="s">
        <v>44</v>
      </c>
      <c r="E156" s="8">
        <v>4.0</v>
      </c>
      <c r="F156" s="8"/>
      <c r="G156" s="8"/>
      <c r="H156" s="8" t="s">
        <v>54</v>
      </c>
    </row>
    <row r="157" ht="15.75" customHeight="1">
      <c r="A157" s="8" t="s">
        <v>184</v>
      </c>
      <c r="B157" s="8" t="s">
        <v>56</v>
      </c>
      <c r="C157" s="8"/>
      <c r="D157" s="8" t="s">
        <v>58</v>
      </c>
      <c r="E157" s="8">
        <v>4.0</v>
      </c>
      <c r="F157" s="8" t="s">
        <v>42</v>
      </c>
      <c r="G157" s="8" t="s">
        <v>44</v>
      </c>
      <c r="H157" s="8" t="s">
        <v>63</v>
      </c>
    </row>
    <row r="158" ht="15.75" customHeight="1">
      <c r="A158" s="8" t="s">
        <v>184</v>
      </c>
      <c r="B158" s="8" t="s">
        <v>56</v>
      </c>
      <c r="C158" s="8"/>
      <c r="D158" s="8" t="s">
        <v>360</v>
      </c>
      <c r="E158" s="8">
        <v>4.0</v>
      </c>
      <c r="F158" s="8" t="s">
        <v>42</v>
      </c>
      <c r="G158" s="8" t="s">
        <v>44</v>
      </c>
      <c r="H158" s="8" t="s">
        <v>754</v>
      </c>
    </row>
    <row r="159" ht="15.75" customHeight="1">
      <c r="A159" s="8" t="s">
        <v>184</v>
      </c>
      <c r="B159" s="8" t="s">
        <v>56</v>
      </c>
      <c r="C159" s="8"/>
      <c r="D159" s="8" t="s">
        <v>365</v>
      </c>
      <c r="E159" s="8">
        <v>5.0</v>
      </c>
      <c r="F159" s="8" t="s">
        <v>42</v>
      </c>
      <c r="G159" s="8" t="s">
        <v>44</v>
      </c>
      <c r="H159" s="8" t="s">
        <v>757</v>
      </c>
    </row>
    <row r="160" ht="15.75" customHeight="1">
      <c r="A160" s="8" t="s">
        <v>184</v>
      </c>
      <c r="B160" s="8" t="s">
        <v>39</v>
      </c>
      <c r="C160" s="8" t="s">
        <v>83</v>
      </c>
      <c r="D160" s="8" t="s">
        <v>363</v>
      </c>
      <c r="E160" s="8">
        <v>8.0</v>
      </c>
      <c r="F160" s="8"/>
      <c r="G160" s="8"/>
      <c r="H160" s="8" t="s">
        <v>370</v>
      </c>
    </row>
    <row r="161" ht="15.75" customHeight="1">
      <c r="A161" s="8" t="s">
        <v>184</v>
      </c>
      <c r="B161" s="8" t="s">
        <v>56</v>
      </c>
      <c r="C161" s="8" t="s">
        <v>650</v>
      </c>
      <c r="D161" s="8" t="s">
        <v>592</v>
      </c>
      <c r="E161" s="8">
        <v>8.0</v>
      </c>
      <c r="F161" s="8" t="s">
        <v>83</v>
      </c>
      <c r="G161" s="8" t="s">
        <v>363</v>
      </c>
      <c r="H161" s="8" t="s">
        <v>767</v>
      </c>
    </row>
    <row r="162" ht="15.75" customHeight="1">
      <c r="A162" s="8" t="s">
        <v>184</v>
      </c>
      <c r="B162" s="8" t="s">
        <v>56</v>
      </c>
      <c r="C162" s="8" t="s">
        <v>368</v>
      </c>
      <c r="D162" s="8" t="s">
        <v>768</v>
      </c>
      <c r="E162" s="8">
        <v>8.0</v>
      </c>
      <c r="F162" s="8" t="s">
        <v>83</v>
      </c>
      <c r="G162" s="8" t="s">
        <v>363</v>
      </c>
      <c r="H162" s="8" t="s">
        <v>769</v>
      </c>
    </row>
    <row r="163" ht="15.75" customHeight="1">
      <c r="A163" s="8" t="s">
        <v>184</v>
      </c>
      <c r="B163" s="8" t="s">
        <v>56</v>
      </c>
      <c r="C163" s="8" t="s">
        <v>375</v>
      </c>
      <c r="D163" s="8" t="s">
        <v>369</v>
      </c>
      <c r="E163" s="8">
        <v>9.0</v>
      </c>
      <c r="F163" s="8" t="s">
        <v>83</v>
      </c>
      <c r="G163" s="8" t="s">
        <v>363</v>
      </c>
      <c r="H163" s="8" t="s">
        <v>771</v>
      </c>
    </row>
    <row r="164" ht="15.75" customHeight="1">
      <c r="A164" s="8" t="s">
        <v>184</v>
      </c>
      <c r="B164" s="8" t="s">
        <v>56</v>
      </c>
      <c r="C164" s="8" t="s">
        <v>374</v>
      </c>
      <c r="D164" s="8" t="s">
        <v>772</v>
      </c>
      <c r="E164" s="8">
        <v>9.0</v>
      </c>
      <c r="F164" s="8" t="s">
        <v>83</v>
      </c>
      <c r="G164" s="8" t="s">
        <v>363</v>
      </c>
      <c r="H164" s="8" t="s">
        <v>773</v>
      </c>
    </row>
    <row r="165" ht="15.75" customHeight="1">
      <c r="A165" s="8" t="s">
        <v>184</v>
      </c>
      <c r="B165" s="8" t="s">
        <v>56</v>
      </c>
      <c r="C165" s="8" t="s">
        <v>774</v>
      </c>
      <c r="D165" s="8" t="s">
        <v>775</v>
      </c>
      <c r="E165" s="8">
        <v>10.0</v>
      </c>
      <c r="F165" s="8" t="s">
        <v>83</v>
      </c>
      <c r="G165" s="8" t="s">
        <v>363</v>
      </c>
      <c r="H165" s="8" t="s">
        <v>776</v>
      </c>
    </row>
    <row r="166" ht="15.75" customHeight="1">
      <c r="A166" s="8" t="s">
        <v>184</v>
      </c>
      <c r="B166" s="8" t="s">
        <v>56</v>
      </c>
      <c r="C166" s="8" t="s">
        <v>777</v>
      </c>
      <c r="D166" s="8" t="s">
        <v>778</v>
      </c>
      <c r="E166" s="8">
        <v>11.0</v>
      </c>
      <c r="F166" s="8" t="s">
        <v>83</v>
      </c>
      <c r="G166" s="8" t="s">
        <v>363</v>
      </c>
      <c r="H166" s="8" t="s">
        <v>779</v>
      </c>
    </row>
    <row r="167" ht="15.75" customHeight="1">
      <c r="A167" s="8" t="s">
        <v>184</v>
      </c>
      <c r="B167" s="8" t="s">
        <v>39</v>
      </c>
      <c r="C167" s="8" t="s">
        <v>124</v>
      </c>
      <c r="D167" s="8" t="s">
        <v>130</v>
      </c>
      <c r="E167" s="8">
        <v>12.0</v>
      </c>
      <c r="F167" s="8"/>
      <c r="G167" s="8"/>
      <c r="H167" s="8" t="s">
        <v>780</v>
      </c>
    </row>
    <row r="168" ht="15.75" customHeight="1">
      <c r="A168" s="8" t="s">
        <v>184</v>
      </c>
      <c r="B168" s="8" t="s">
        <v>56</v>
      </c>
      <c r="C168" s="8" t="s">
        <v>381</v>
      </c>
      <c r="D168" s="8" t="s">
        <v>781</v>
      </c>
      <c r="E168" s="8">
        <v>12.0</v>
      </c>
      <c r="F168" s="8" t="s">
        <v>124</v>
      </c>
      <c r="G168" s="8" t="s">
        <v>130</v>
      </c>
      <c r="H168" s="8" t="s">
        <v>783</v>
      </c>
    </row>
    <row r="169" ht="15.75" customHeight="1">
      <c r="A169" s="8" t="s">
        <v>184</v>
      </c>
      <c r="B169" s="8" t="s">
        <v>56</v>
      </c>
      <c r="C169" s="8" t="s">
        <v>392</v>
      </c>
      <c r="D169" s="8" t="s">
        <v>393</v>
      </c>
      <c r="E169" s="8">
        <v>12.0</v>
      </c>
      <c r="F169" s="8" t="s">
        <v>124</v>
      </c>
      <c r="G169" s="8" t="s">
        <v>130</v>
      </c>
      <c r="H169" s="8" t="s">
        <v>406</v>
      </c>
    </row>
    <row r="170" ht="15.75" customHeight="1">
      <c r="A170" s="8" t="s">
        <v>184</v>
      </c>
      <c r="B170" s="8" t="s">
        <v>56</v>
      </c>
      <c r="C170" s="8" t="s">
        <v>410</v>
      </c>
      <c r="D170" s="8" t="s">
        <v>784</v>
      </c>
      <c r="E170" s="8">
        <v>13.0</v>
      </c>
      <c r="F170" s="8" t="s">
        <v>124</v>
      </c>
      <c r="G170" s="8" t="s">
        <v>130</v>
      </c>
      <c r="H170" s="8" t="s">
        <v>785</v>
      </c>
    </row>
    <row r="171" ht="15.75" customHeight="1">
      <c r="A171" s="8" t="s">
        <v>184</v>
      </c>
      <c r="B171" s="8" t="s">
        <v>56</v>
      </c>
      <c r="C171" s="8" t="s">
        <v>402</v>
      </c>
      <c r="D171" s="8" t="s">
        <v>786</v>
      </c>
      <c r="E171" s="8">
        <v>14.0</v>
      </c>
      <c r="F171" s="8" t="s">
        <v>124</v>
      </c>
      <c r="G171" s="8" t="s">
        <v>130</v>
      </c>
      <c r="H171" s="8" t="s">
        <v>788</v>
      </c>
    </row>
    <row r="172" ht="15.75" customHeight="1">
      <c r="A172" s="8" t="s">
        <v>184</v>
      </c>
      <c r="B172" s="8" t="s">
        <v>56</v>
      </c>
      <c r="C172" s="8" t="s">
        <v>424</v>
      </c>
      <c r="D172" s="8" t="s">
        <v>790</v>
      </c>
      <c r="E172" s="8">
        <v>15.0</v>
      </c>
      <c r="F172" s="8" t="s">
        <v>124</v>
      </c>
      <c r="G172" s="8" t="s">
        <v>130</v>
      </c>
      <c r="H172" s="8" t="s">
        <v>791</v>
      </c>
    </row>
    <row r="173" ht="15.75" customHeight="1">
      <c r="A173" s="8" t="s">
        <v>184</v>
      </c>
      <c r="B173" s="8" t="s">
        <v>39</v>
      </c>
      <c r="C173" s="8" t="s">
        <v>129</v>
      </c>
      <c r="D173" s="8" t="s">
        <v>155</v>
      </c>
      <c r="E173" s="8">
        <v>16.0</v>
      </c>
      <c r="F173" s="8"/>
      <c r="G173" s="8"/>
      <c r="H173" s="8" t="s">
        <v>792</v>
      </c>
    </row>
    <row r="174" ht="15.75" customHeight="1">
      <c r="A174" s="8" t="s">
        <v>184</v>
      </c>
      <c r="B174" s="8" t="s">
        <v>56</v>
      </c>
      <c r="C174" s="8" t="s">
        <v>441</v>
      </c>
      <c r="D174" s="8" t="s">
        <v>459</v>
      </c>
      <c r="E174" s="8">
        <v>16.0</v>
      </c>
      <c r="F174" s="8" t="s">
        <v>129</v>
      </c>
      <c r="G174" s="8" t="s">
        <v>155</v>
      </c>
      <c r="H174" s="8" t="s">
        <v>793</v>
      </c>
    </row>
    <row r="175" ht="15.75" customHeight="1">
      <c r="A175" s="8" t="s">
        <v>184</v>
      </c>
      <c r="B175" s="8" t="s">
        <v>56</v>
      </c>
      <c r="C175" s="8" t="s">
        <v>446</v>
      </c>
      <c r="D175" s="8" t="s">
        <v>794</v>
      </c>
      <c r="E175" s="8">
        <v>16.0</v>
      </c>
      <c r="F175" s="8" t="s">
        <v>129</v>
      </c>
      <c r="G175" s="8" t="s">
        <v>155</v>
      </c>
      <c r="H175" s="8" t="s">
        <v>796</v>
      </c>
    </row>
    <row r="176" ht="15.75" customHeight="1">
      <c r="A176" s="8" t="s">
        <v>184</v>
      </c>
      <c r="B176" s="8" t="s">
        <v>56</v>
      </c>
      <c r="C176" s="8" t="s">
        <v>433</v>
      </c>
      <c r="D176" s="8" t="s">
        <v>470</v>
      </c>
      <c r="E176" s="8">
        <v>17.0</v>
      </c>
      <c r="F176" s="8" t="s">
        <v>129</v>
      </c>
      <c r="G176" s="8" t="s">
        <v>155</v>
      </c>
      <c r="H176" s="8" t="s">
        <v>798</v>
      </c>
    </row>
    <row r="177" ht="15.75" customHeight="1">
      <c r="A177" s="8" t="s">
        <v>184</v>
      </c>
      <c r="B177" s="8" t="s">
        <v>56</v>
      </c>
      <c r="C177" s="8" t="s">
        <v>443</v>
      </c>
      <c r="D177" s="8" t="s">
        <v>800</v>
      </c>
      <c r="E177" s="8">
        <v>17.0</v>
      </c>
      <c r="F177" s="8" t="s">
        <v>129</v>
      </c>
      <c r="G177" s="8" t="s">
        <v>155</v>
      </c>
      <c r="H177" s="8" t="s">
        <v>801</v>
      </c>
    </row>
    <row r="178" ht="15.75" customHeight="1">
      <c r="A178" s="8" t="s">
        <v>184</v>
      </c>
      <c r="B178" s="8" t="s">
        <v>56</v>
      </c>
      <c r="C178" s="8" t="s">
        <v>451</v>
      </c>
      <c r="D178" s="8" t="s">
        <v>483</v>
      </c>
      <c r="E178" s="8">
        <v>18.0</v>
      </c>
      <c r="F178" s="8" t="s">
        <v>129</v>
      </c>
      <c r="G178" s="8" t="s">
        <v>155</v>
      </c>
      <c r="H178" s="8" t="s">
        <v>802</v>
      </c>
    </row>
    <row r="179" ht="15.75" customHeight="1">
      <c r="A179" s="8" t="s">
        <v>184</v>
      </c>
      <c r="B179" s="8" t="s">
        <v>56</v>
      </c>
      <c r="C179" s="8" t="s">
        <v>458</v>
      </c>
      <c r="D179" s="8" t="s">
        <v>804</v>
      </c>
      <c r="E179" s="8">
        <v>19.0</v>
      </c>
      <c r="F179" s="8" t="s">
        <v>129</v>
      </c>
      <c r="G179" s="8" t="s">
        <v>155</v>
      </c>
      <c r="H179" s="8" t="s">
        <v>806</v>
      </c>
    </row>
    <row r="180" ht="15.75" customHeight="1">
      <c r="A180" s="8" t="s">
        <v>184</v>
      </c>
      <c r="B180" s="8" t="s">
        <v>39</v>
      </c>
      <c r="C180" s="8" t="s">
        <v>153</v>
      </c>
      <c r="D180" s="8" t="s">
        <v>182</v>
      </c>
      <c r="E180" s="8">
        <v>20.0</v>
      </c>
      <c r="F180" s="8"/>
      <c r="G180" s="8"/>
      <c r="H180" s="8" t="s">
        <v>808</v>
      </c>
    </row>
    <row r="181" ht="15.75" customHeight="1">
      <c r="A181" s="8" t="s">
        <v>184</v>
      </c>
      <c r="B181" s="8" t="s">
        <v>56</v>
      </c>
      <c r="C181" s="8" t="s">
        <v>503</v>
      </c>
      <c r="D181" s="8" t="s">
        <v>504</v>
      </c>
      <c r="E181" s="8">
        <v>20.0</v>
      </c>
      <c r="F181" s="8" t="s">
        <v>153</v>
      </c>
      <c r="G181" s="8" t="s">
        <v>182</v>
      </c>
      <c r="H181" s="8" t="s">
        <v>810</v>
      </c>
    </row>
    <row r="182" ht="15.75" customHeight="1">
      <c r="A182" s="8" t="s">
        <v>184</v>
      </c>
      <c r="B182" s="8" t="s">
        <v>56</v>
      </c>
      <c r="C182" s="8" t="s">
        <v>492</v>
      </c>
      <c r="D182" s="8" t="s">
        <v>811</v>
      </c>
      <c r="E182" s="8">
        <v>20.0</v>
      </c>
      <c r="F182" s="8" t="s">
        <v>153</v>
      </c>
      <c r="G182" s="8" t="s">
        <v>182</v>
      </c>
      <c r="H182" s="8" t="s">
        <v>812</v>
      </c>
    </row>
    <row r="183" ht="15.75" customHeight="1">
      <c r="A183" s="8" t="s">
        <v>184</v>
      </c>
      <c r="B183" s="8" t="s">
        <v>56</v>
      </c>
      <c r="C183" s="8" t="s">
        <v>500</v>
      </c>
      <c r="D183" s="8" t="s">
        <v>813</v>
      </c>
      <c r="E183" s="8">
        <v>21.0</v>
      </c>
      <c r="F183" s="8" t="s">
        <v>153</v>
      </c>
      <c r="G183" s="8" t="s">
        <v>182</v>
      </c>
      <c r="H183" s="8" t="s">
        <v>814</v>
      </c>
    </row>
    <row r="184" ht="15.75" customHeight="1">
      <c r="A184" s="8" t="s">
        <v>184</v>
      </c>
      <c r="B184" s="8" t="s">
        <v>56</v>
      </c>
      <c r="C184" s="8" t="s">
        <v>520</v>
      </c>
      <c r="D184" s="8" t="s">
        <v>815</v>
      </c>
      <c r="E184" s="8">
        <v>22.0</v>
      </c>
      <c r="F184" s="8" t="s">
        <v>153</v>
      </c>
      <c r="G184" s="8" t="s">
        <v>182</v>
      </c>
      <c r="H184" s="8" t="s">
        <v>817</v>
      </c>
    </row>
    <row r="185" ht="15.75" customHeight="1">
      <c r="A185" s="8" t="s">
        <v>184</v>
      </c>
      <c r="B185" s="8" t="s">
        <v>56</v>
      </c>
      <c r="C185" s="8" t="s">
        <v>818</v>
      </c>
      <c r="D185" s="8" t="s">
        <v>521</v>
      </c>
      <c r="E185" s="8">
        <v>23.0</v>
      </c>
      <c r="F185" s="8" t="s">
        <v>153</v>
      </c>
      <c r="G185" s="8" t="s">
        <v>182</v>
      </c>
      <c r="H185" s="8" t="s">
        <v>820</v>
      </c>
    </row>
    <row r="186" ht="15.75" customHeight="1">
      <c r="A186" s="8" t="s">
        <v>184</v>
      </c>
      <c r="B186" s="8" t="s">
        <v>39</v>
      </c>
      <c r="C186" s="8" t="s">
        <v>181</v>
      </c>
      <c r="D186" s="8" t="s">
        <v>211</v>
      </c>
      <c r="E186" s="8">
        <v>24.0</v>
      </c>
      <c r="F186" s="8"/>
      <c r="G186" s="8"/>
      <c r="H186" s="8" t="s">
        <v>822</v>
      </c>
    </row>
    <row r="187" ht="15.75" customHeight="1">
      <c r="A187" s="8" t="s">
        <v>184</v>
      </c>
      <c r="B187" s="8" t="s">
        <v>56</v>
      </c>
      <c r="C187" s="8" t="s">
        <v>509</v>
      </c>
      <c r="D187" s="8" t="s">
        <v>511</v>
      </c>
      <c r="E187" s="8">
        <v>24.0</v>
      </c>
      <c r="F187" s="8" t="s">
        <v>181</v>
      </c>
      <c r="G187" s="8" t="s">
        <v>211</v>
      </c>
      <c r="H187" s="8" t="s">
        <v>825</v>
      </c>
    </row>
    <row r="188" ht="15.75" customHeight="1">
      <c r="A188" s="8" t="s">
        <v>184</v>
      </c>
      <c r="B188" s="8" t="s">
        <v>56</v>
      </c>
      <c r="C188" s="8" t="s">
        <v>534</v>
      </c>
      <c r="D188" s="8" t="s">
        <v>827</v>
      </c>
      <c r="E188" s="8">
        <v>25.0</v>
      </c>
      <c r="F188" s="8" t="s">
        <v>181</v>
      </c>
      <c r="G188" s="8" t="s">
        <v>211</v>
      </c>
      <c r="H188" s="8" t="s">
        <v>828</v>
      </c>
    </row>
    <row r="189" ht="15.75" customHeight="1">
      <c r="A189" s="8" t="s">
        <v>184</v>
      </c>
      <c r="B189" s="8" t="s">
        <v>56</v>
      </c>
      <c r="C189" s="8" t="s">
        <v>539</v>
      </c>
      <c r="D189" s="8" t="s">
        <v>829</v>
      </c>
      <c r="E189" s="8">
        <v>26.0</v>
      </c>
      <c r="F189" s="8" t="s">
        <v>181</v>
      </c>
      <c r="G189" s="8" t="s">
        <v>211</v>
      </c>
      <c r="H189" s="8" t="s">
        <v>831</v>
      </c>
    </row>
    <row r="190" ht="15.75" customHeight="1">
      <c r="A190" s="8" t="s">
        <v>184</v>
      </c>
      <c r="B190" s="8" t="s">
        <v>56</v>
      </c>
      <c r="C190" s="8" t="s">
        <v>543</v>
      </c>
      <c r="D190" s="8" t="s">
        <v>544</v>
      </c>
      <c r="E190" s="8">
        <v>26.0</v>
      </c>
      <c r="F190" s="8" t="s">
        <v>181</v>
      </c>
      <c r="G190" s="8" t="s">
        <v>211</v>
      </c>
      <c r="H190" s="8" t="s">
        <v>834</v>
      </c>
    </row>
    <row r="191" ht="15.75" customHeight="1">
      <c r="A191" s="8" t="s">
        <v>184</v>
      </c>
      <c r="B191" s="8" t="s">
        <v>39</v>
      </c>
      <c r="C191" s="8" t="s">
        <v>210</v>
      </c>
      <c r="D191" s="8" t="s">
        <v>243</v>
      </c>
      <c r="E191" s="8">
        <v>27.0</v>
      </c>
      <c r="F191" s="8"/>
      <c r="G191" s="8"/>
      <c r="H191" s="8" t="s">
        <v>836</v>
      </c>
    </row>
    <row r="192" ht="15.75" customHeight="1">
      <c r="A192" s="8" t="s">
        <v>184</v>
      </c>
      <c r="B192" s="8" t="s">
        <v>56</v>
      </c>
      <c r="C192" s="8" t="s">
        <v>550</v>
      </c>
      <c r="D192" s="8" t="s">
        <v>551</v>
      </c>
      <c r="E192" s="8">
        <v>27.0</v>
      </c>
      <c r="F192" s="8" t="s">
        <v>210</v>
      </c>
      <c r="G192" s="8" t="s">
        <v>243</v>
      </c>
      <c r="H192" s="8" t="s">
        <v>838</v>
      </c>
    </row>
    <row r="193" ht="15.75" customHeight="1">
      <c r="A193" s="8" t="s">
        <v>184</v>
      </c>
      <c r="B193" s="8" t="s">
        <v>56</v>
      </c>
      <c r="C193" s="8" t="s">
        <v>532</v>
      </c>
      <c r="D193" s="8" t="s">
        <v>247</v>
      </c>
      <c r="E193" s="8">
        <v>27.0</v>
      </c>
      <c r="F193" s="8" t="s">
        <v>210</v>
      </c>
      <c r="G193" s="8" t="s">
        <v>243</v>
      </c>
      <c r="H193" s="8" t="s">
        <v>839</v>
      </c>
    </row>
    <row r="194" ht="15.75" customHeight="1">
      <c r="A194" s="8" t="s">
        <v>184</v>
      </c>
      <c r="B194" s="8" t="s">
        <v>56</v>
      </c>
      <c r="C194" s="8" t="s">
        <v>541</v>
      </c>
      <c r="D194" s="8" t="s">
        <v>259</v>
      </c>
      <c r="E194" s="8">
        <v>28.0</v>
      </c>
      <c r="F194" s="8" t="s">
        <v>210</v>
      </c>
      <c r="G194" s="8" t="s">
        <v>243</v>
      </c>
      <c r="H194" s="8" t="s">
        <v>840</v>
      </c>
    </row>
    <row r="195" ht="15.75" customHeight="1">
      <c r="A195" s="8" t="s">
        <v>184</v>
      </c>
      <c r="B195" s="8" t="s">
        <v>39</v>
      </c>
      <c r="C195" s="8" t="s">
        <v>241</v>
      </c>
      <c r="D195" s="8" t="s">
        <v>264</v>
      </c>
      <c r="E195" s="8">
        <v>29.0</v>
      </c>
      <c r="F195" s="8"/>
      <c r="G195" s="8"/>
      <c r="H195" s="8" t="s">
        <v>843</v>
      </c>
    </row>
    <row r="196" ht="15.75" customHeight="1">
      <c r="A196" s="8" t="s">
        <v>184</v>
      </c>
      <c r="B196" s="8" t="s">
        <v>56</v>
      </c>
      <c r="C196" s="8"/>
      <c r="D196" s="8" t="s">
        <v>569</v>
      </c>
      <c r="E196" s="8">
        <v>29.0</v>
      </c>
      <c r="F196" s="8" t="s">
        <v>241</v>
      </c>
      <c r="G196" s="8" t="s">
        <v>264</v>
      </c>
      <c r="H196" s="8" t="s">
        <v>846</v>
      </c>
    </row>
    <row r="197" ht="15.75" customHeight="1">
      <c r="A197" s="8" t="s">
        <v>184</v>
      </c>
      <c r="B197" s="8" t="s">
        <v>39</v>
      </c>
      <c r="C197" s="8" t="s">
        <v>263</v>
      </c>
      <c r="D197" s="8" t="s">
        <v>285</v>
      </c>
      <c r="E197" s="8">
        <v>31.0</v>
      </c>
      <c r="F197" s="8"/>
      <c r="G197" s="8"/>
      <c r="H197" s="8" t="s">
        <v>848</v>
      </c>
    </row>
    <row r="198" ht="15.75" customHeight="1">
      <c r="A198" s="8" t="s">
        <v>184</v>
      </c>
      <c r="B198" s="8" t="s">
        <v>39</v>
      </c>
      <c r="C198" s="8" t="s">
        <v>272</v>
      </c>
      <c r="D198" s="8" t="s">
        <v>567</v>
      </c>
      <c r="E198" s="8">
        <v>33.0</v>
      </c>
      <c r="F198" s="8"/>
      <c r="G198" s="8"/>
      <c r="H198" s="8" t="s">
        <v>850</v>
      </c>
    </row>
    <row r="199" ht="15.75" customHeight="1">
      <c r="A199" s="8" t="s">
        <v>184</v>
      </c>
      <c r="B199" s="8" t="s">
        <v>39</v>
      </c>
      <c r="C199" s="8" t="s">
        <v>284</v>
      </c>
      <c r="D199" s="8" t="s">
        <v>852</v>
      </c>
      <c r="E199" s="8">
        <v>34.0</v>
      </c>
      <c r="F199" s="8"/>
      <c r="G199" s="8"/>
      <c r="H199" s="8" t="s">
        <v>854</v>
      </c>
    </row>
    <row r="200" ht="15.75" customHeight="1">
      <c r="A200" s="8" t="s">
        <v>184</v>
      </c>
      <c r="B200" s="8" t="s">
        <v>39</v>
      </c>
      <c r="C200" s="8" t="s">
        <v>292</v>
      </c>
      <c r="D200" s="8" t="s">
        <v>305</v>
      </c>
      <c r="E200" s="8">
        <v>35.0</v>
      </c>
      <c r="F200" s="8"/>
      <c r="G200" s="8"/>
      <c r="H200" s="8" t="s">
        <v>856</v>
      </c>
    </row>
    <row r="201" ht="15.75" customHeight="1">
      <c r="A201" s="8" t="s">
        <v>184</v>
      </c>
      <c r="B201" s="8" t="s">
        <v>56</v>
      </c>
      <c r="C201" s="8" t="s">
        <v>585</v>
      </c>
      <c r="D201" s="8" t="s">
        <v>586</v>
      </c>
      <c r="E201" s="8">
        <v>35.0</v>
      </c>
      <c r="F201" s="8" t="s">
        <v>292</v>
      </c>
      <c r="G201" s="8" t="s">
        <v>305</v>
      </c>
      <c r="H201" s="8" t="s">
        <v>857</v>
      </c>
    </row>
    <row r="202" ht="15.75" customHeight="1">
      <c r="A202" s="8" t="s">
        <v>184</v>
      </c>
      <c r="B202" s="8" t="s">
        <v>56</v>
      </c>
      <c r="C202" s="8" t="s">
        <v>591</v>
      </c>
      <c r="D202" s="8" t="s">
        <v>314</v>
      </c>
      <c r="E202" s="8">
        <v>35.0</v>
      </c>
      <c r="F202" s="8" t="s">
        <v>292</v>
      </c>
      <c r="G202" s="8" t="s">
        <v>305</v>
      </c>
      <c r="H202" s="8" t="s">
        <v>860</v>
      </c>
    </row>
    <row r="203" ht="15.75" customHeight="1">
      <c r="A203" s="8" t="s">
        <v>184</v>
      </c>
      <c r="B203" s="8" t="s">
        <v>56</v>
      </c>
      <c r="C203" s="8" t="s">
        <v>595</v>
      </c>
      <c r="D203" s="8" t="s">
        <v>596</v>
      </c>
      <c r="E203" s="8">
        <v>36.0</v>
      </c>
      <c r="F203" s="8" t="s">
        <v>292</v>
      </c>
      <c r="G203" s="8" t="s">
        <v>305</v>
      </c>
      <c r="H203" s="8" t="s">
        <v>866</v>
      </c>
    </row>
    <row r="204" ht="15.75" customHeight="1">
      <c r="A204" s="8" t="s">
        <v>184</v>
      </c>
      <c r="B204" s="8" t="s">
        <v>39</v>
      </c>
      <c r="C204" s="8" t="s">
        <v>303</v>
      </c>
      <c r="D204" s="8" t="s">
        <v>339</v>
      </c>
      <c r="E204" s="8">
        <v>38.0</v>
      </c>
      <c r="F204" s="8"/>
      <c r="G204" s="8"/>
      <c r="H204" s="8" t="s">
        <v>869</v>
      </c>
    </row>
    <row r="205" ht="15.75" customHeight="1">
      <c r="A205" s="8" t="s">
        <v>184</v>
      </c>
      <c r="B205" s="8" t="s">
        <v>56</v>
      </c>
      <c r="C205" s="8" t="s">
        <v>599</v>
      </c>
      <c r="D205" s="8" t="s">
        <v>600</v>
      </c>
      <c r="E205" s="8">
        <v>38.0</v>
      </c>
      <c r="F205" s="8" t="s">
        <v>303</v>
      </c>
      <c r="G205" s="8" t="s">
        <v>339</v>
      </c>
      <c r="H205" s="8" t="s">
        <v>871</v>
      </c>
    </row>
    <row r="206" ht="15.75" customHeight="1">
      <c r="A206" s="8" t="s">
        <v>184</v>
      </c>
      <c r="B206" s="8" t="s">
        <v>56</v>
      </c>
      <c r="C206" s="8" t="s">
        <v>603</v>
      </c>
      <c r="D206" s="8" t="s">
        <v>604</v>
      </c>
      <c r="E206" s="8">
        <v>38.0</v>
      </c>
      <c r="F206" s="8" t="s">
        <v>303</v>
      </c>
      <c r="G206" s="8" t="s">
        <v>339</v>
      </c>
      <c r="H206" s="8" t="s">
        <v>873</v>
      </c>
    </row>
    <row r="207" ht="15.75" customHeight="1">
      <c r="A207" s="8" t="s">
        <v>184</v>
      </c>
      <c r="B207" s="8" t="s">
        <v>56</v>
      </c>
      <c r="C207" s="8" t="s">
        <v>608</v>
      </c>
      <c r="D207" s="8" t="s">
        <v>609</v>
      </c>
      <c r="E207" s="8">
        <v>38.0</v>
      </c>
      <c r="F207" s="8" t="s">
        <v>303</v>
      </c>
      <c r="G207" s="8" t="s">
        <v>339</v>
      </c>
      <c r="H207" s="8" t="s">
        <v>874</v>
      </c>
    </row>
    <row r="208" ht="15.75" customHeight="1">
      <c r="A208" s="8" t="s">
        <v>184</v>
      </c>
      <c r="B208" s="8" t="s">
        <v>56</v>
      </c>
      <c r="C208" s="8"/>
      <c r="D208" s="8" t="s">
        <v>345</v>
      </c>
      <c r="E208" s="8">
        <v>40.0</v>
      </c>
      <c r="F208" s="8" t="s">
        <v>303</v>
      </c>
      <c r="G208" s="8" t="s">
        <v>339</v>
      </c>
      <c r="H208" s="8" t="s">
        <v>877</v>
      </c>
    </row>
    <row r="209" ht="15.75" customHeight="1">
      <c r="A209" s="8" t="s">
        <v>184</v>
      </c>
      <c r="B209" s="8" t="s">
        <v>56</v>
      </c>
      <c r="C209" s="8"/>
      <c r="D209" s="8" t="s">
        <v>878</v>
      </c>
      <c r="E209" s="8">
        <v>42.0</v>
      </c>
      <c r="F209" s="8" t="s">
        <v>303</v>
      </c>
      <c r="G209" s="8" t="s">
        <v>339</v>
      </c>
      <c r="H209" s="8" t="s">
        <v>879</v>
      </c>
    </row>
    <row r="210" ht="15.75" customHeight="1">
      <c r="A210" s="8" t="s">
        <v>184</v>
      </c>
      <c r="B210" s="8" t="s">
        <v>56</v>
      </c>
      <c r="C210" s="8"/>
      <c r="D210" s="8" t="s">
        <v>880</v>
      </c>
      <c r="E210" s="8">
        <v>44.0</v>
      </c>
      <c r="F210" s="8" t="s">
        <v>303</v>
      </c>
      <c r="G210" s="8" t="s">
        <v>339</v>
      </c>
      <c r="H210" s="8" t="s">
        <v>883</v>
      </c>
    </row>
    <row r="211" ht="15.75" customHeight="1">
      <c r="A211" s="8" t="s">
        <v>184</v>
      </c>
      <c r="B211" s="8" t="s">
        <v>56</v>
      </c>
      <c r="C211" s="8"/>
      <c r="D211" s="8" t="s">
        <v>618</v>
      </c>
      <c r="E211" s="8">
        <v>45.0</v>
      </c>
      <c r="F211" s="8" t="s">
        <v>303</v>
      </c>
      <c r="G211" s="8" t="s">
        <v>339</v>
      </c>
      <c r="H211" s="8" t="s">
        <v>885</v>
      </c>
    </row>
    <row r="212" ht="15.75" customHeight="1">
      <c r="A212" s="8" t="s">
        <v>212</v>
      </c>
      <c r="B212" s="8" t="s">
        <v>39</v>
      </c>
      <c r="C212" s="8" t="s">
        <v>42</v>
      </c>
      <c r="D212" s="8" t="s">
        <v>44</v>
      </c>
      <c r="E212" s="8">
        <v>3.0</v>
      </c>
      <c r="F212" s="8"/>
      <c r="G212" s="8"/>
      <c r="H212" s="8" t="s">
        <v>887</v>
      </c>
    </row>
    <row r="213" ht="15.75" customHeight="1">
      <c r="A213" s="8" t="s">
        <v>212</v>
      </c>
      <c r="B213" s="8" t="s">
        <v>39</v>
      </c>
      <c r="C213" s="8" t="s">
        <v>83</v>
      </c>
      <c r="D213" s="8" t="s">
        <v>890</v>
      </c>
      <c r="E213" s="8">
        <v>6.0</v>
      </c>
      <c r="F213" s="8"/>
      <c r="G213" s="8"/>
      <c r="H213" s="8" t="s">
        <v>891</v>
      </c>
    </row>
    <row r="214" ht="15.75" customHeight="1">
      <c r="A214" s="8" t="s">
        <v>212</v>
      </c>
      <c r="B214" s="8" t="s">
        <v>39</v>
      </c>
      <c r="C214" s="8" t="s">
        <v>124</v>
      </c>
      <c r="D214" s="8" t="s">
        <v>130</v>
      </c>
      <c r="E214" s="8">
        <v>8.0</v>
      </c>
      <c r="F214" s="8"/>
      <c r="G214" s="8"/>
      <c r="H214" s="8" t="s">
        <v>894</v>
      </c>
    </row>
    <row r="215" ht="15.75" customHeight="1">
      <c r="A215" s="8" t="s">
        <v>212</v>
      </c>
      <c r="B215" s="8" t="s">
        <v>39</v>
      </c>
      <c r="C215" s="8" t="s">
        <v>129</v>
      </c>
      <c r="D215" s="8" t="s">
        <v>155</v>
      </c>
      <c r="E215" s="8">
        <v>13.0</v>
      </c>
      <c r="F215" s="8"/>
      <c r="G215" s="8"/>
      <c r="H215" s="8" t="s">
        <v>896</v>
      </c>
    </row>
    <row r="216" ht="15.75" customHeight="1">
      <c r="A216" s="8" t="s">
        <v>212</v>
      </c>
      <c r="B216" s="8" t="s">
        <v>39</v>
      </c>
      <c r="C216" s="8" t="s">
        <v>153</v>
      </c>
      <c r="D216" s="8" t="s">
        <v>182</v>
      </c>
      <c r="E216" s="8">
        <v>19.0</v>
      </c>
      <c r="F216" s="8"/>
      <c r="G216" s="8"/>
      <c r="H216" s="8" t="s">
        <v>899</v>
      </c>
    </row>
    <row r="217" ht="15.75" customHeight="1">
      <c r="A217" s="8" t="s">
        <v>212</v>
      </c>
      <c r="B217" s="8" t="s">
        <v>39</v>
      </c>
      <c r="C217" s="8" t="s">
        <v>181</v>
      </c>
      <c r="D217" s="8" t="s">
        <v>211</v>
      </c>
      <c r="E217" s="8">
        <v>23.0</v>
      </c>
      <c r="F217" s="8"/>
      <c r="G217" s="8"/>
      <c r="H217" s="8" t="s">
        <v>901</v>
      </c>
    </row>
    <row r="218" ht="15.75" customHeight="1">
      <c r="A218" s="8" t="s">
        <v>212</v>
      </c>
      <c r="B218" s="8" t="s">
        <v>39</v>
      </c>
      <c r="C218" s="8" t="s">
        <v>210</v>
      </c>
      <c r="D218" s="8" t="s">
        <v>243</v>
      </c>
      <c r="E218" s="8">
        <v>25.0</v>
      </c>
      <c r="F218" s="8"/>
      <c r="G218" s="8"/>
      <c r="H218" s="8" t="s">
        <v>903</v>
      </c>
    </row>
    <row r="219" ht="15.75" customHeight="1">
      <c r="A219" s="8" t="s">
        <v>212</v>
      </c>
      <c r="B219" s="8" t="s">
        <v>39</v>
      </c>
      <c r="C219" s="8" t="s">
        <v>241</v>
      </c>
      <c r="D219" s="8" t="s">
        <v>264</v>
      </c>
      <c r="E219" s="8">
        <v>27.0</v>
      </c>
      <c r="F219" s="8"/>
      <c r="G219" s="8"/>
      <c r="H219" s="8" t="s">
        <v>906</v>
      </c>
    </row>
    <row r="220" ht="15.75" customHeight="1">
      <c r="A220" s="8" t="s">
        <v>212</v>
      </c>
      <c r="B220" s="8" t="s">
        <v>39</v>
      </c>
      <c r="C220" s="8" t="s">
        <v>263</v>
      </c>
      <c r="D220" s="8" t="s">
        <v>285</v>
      </c>
      <c r="E220" s="8">
        <v>29.0</v>
      </c>
      <c r="F220" s="8"/>
      <c r="G220" s="8"/>
      <c r="H220" s="8" t="s">
        <v>911</v>
      </c>
    </row>
    <row r="221" ht="15.75" customHeight="1">
      <c r="A221" s="8" t="s">
        <v>212</v>
      </c>
      <c r="B221" s="8" t="s">
        <v>39</v>
      </c>
      <c r="C221" s="8" t="s">
        <v>272</v>
      </c>
      <c r="D221" s="8" t="s">
        <v>567</v>
      </c>
      <c r="E221" s="8">
        <v>31.0</v>
      </c>
      <c r="F221" s="8"/>
      <c r="G221" s="8"/>
      <c r="H221" s="8" t="s">
        <v>914</v>
      </c>
    </row>
    <row r="222" ht="15.75" customHeight="1">
      <c r="A222" s="8" t="s">
        <v>212</v>
      </c>
      <c r="B222" s="8" t="s">
        <v>39</v>
      </c>
      <c r="C222" s="8" t="s">
        <v>284</v>
      </c>
      <c r="D222" s="8" t="s">
        <v>916</v>
      </c>
      <c r="E222" s="8">
        <v>33.0</v>
      </c>
      <c r="F222" s="8"/>
      <c r="G222" s="8"/>
      <c r="H222" s="8" t="s">
        <v>917</v>
      </c>
    </row>
    <row r="223" ht="15.75" customHeight="1">
      <c r="A223" s="8" t="s">
        <v>212</v>
      </c>
      <c r="B223" s="8" t="s">
        <v>39</v>
      </c>
      <c r="C223" s="8" t="s">
        <v>292</v>
      </c>
      <c r="D223" s="8" t="s">
        <v>305</v>
      </c>
      <c r="E223" s="8">
        <v>35.0</v>
      </c>
      <c r="F223" s="8"/>
      <c r="G223" s="8"/>
      <c r="H223" s="8" t="s">
        <v>856</v>
      </c>
    </row>
    <row r="224" ht="15.75" customHeight="1">
      <c r="A224" s="8" t="s">
        <v>212</v>
      </c>
      <c r="B224" s="8" t="s">
        <v>39</v>
      </c>
      <c r="C224" s="8" t="s">
        <v>303</v>
      </c>
      <c r="D224" s="8" t="s">
        <v>339</v>
      </c>
      <c r="E224" s="8">
        <v>38.0</v>
      </c>
      <c r="F224" s="8"/>
      <c r="G224" s="8"/>
      <c r="H224" s="8" t="s">
        <v>869</v>
      </c>
    </row>
    <row r="225" ht="15.75" customHeight="1">
      <c r="A225" s="8" t="s">
        <v>212</v>
      </c>
      <c r="B225" s="8" t="s">
        <v>39</v>
      </c>
      <c r="C225" s="8" t="s">
        <v>344</v>
      </c>
      <c r="D225" s="8" t="s">
        <v>345</v>
      </c>
      <c r="E225" s="8">
        <v>40.0</v>
      </c>
      <c r="F225" s="8"/>
      <c r="G225" s="8"/>
      <c r="H225" s="8" t="s">
        <v>923</v>
      </c>
    </row>
    <row r="226" ht="15.75" customHeight="1">
      <c r="A226" s="8" t="s">
        <v>212</v>
      </c>
      <c r="B226" s="8" t="s">
        <v>39</v>
      </c>
      <c r="C226" s="8" t="s">
        <v>277</v>
      </c>
      <c r="D226" s="8" t="s">
        <v>925</v>
      </c>
      <c r="E226" s="8">
        <v>40.0</v>
      </c>
      <c r="F226" s="8"/>
      <c r="G226" s="8"/>
      <c r="H226" s="8" t="s">
        <v>926</v>
      </c>
    </row>
    <row r="227" ht="15.75" customHeight="1">
      <c r="A227" s="8" t="s">
        <v>212</v>
      </c>
      <c r="B227" s="8" t="s">
        <v>39</v>
      </c>
      <c r="C227" s="8" t="s">
        <v>334</v>
      </c>
      <c r="D227" s="8" t="s">
        <v>927</v>
      </c>
      <c r="E227" s="8">
        <v>43.0</v>
      </c>
      <c r="F227" s="8"/>
      <c r="G227" s="8"/>
      <c r="H227" s="8" t="s">
        <v>929</v>
      </c>
    </row>
    <row r="228" ht="15.75" customHeight="1">
      <c r="A228" s="8" t="s">
        <v>212</v>
      </c>
      <c r="B228" s="8" t="s">
        <v>39</v>
      </c>
      <c r="C228" s="8" t="s">
        <v>341</v>
      </c>
      <c r="D228" s="8" t="s">
        <v>618</v>
      </c>
      <c r="E228" s="8">
        <v>44.0</v>
      </c>
      <c r="F228" s="8"/>
      <c r="G228" s="8"/>
      <c r="H228" s="8" t="s">
        <v>932</v>
      </c>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28"/>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13.0"/>
    <col customWidth="1" min="3" max="3" width="58.0"/>
    <col customWidth="1" min="4" max="4" width="10.0"/>
    <col customWidth="1" min="5" max="5" width="38.0"/>
    <col customWidth="1" min="6" max="6" width="11.0"/>
    <col customWidth="1" min="7" max="7" width="38.0"/>
    <col customWidth="1" min="8" max="8" width="12.0"/>
    <col customWidth="1" min="9" max="9" width="10.0"/>
    <col customWidth="1" min="10" max="10" width="9.0"/>
    <col customWidth="1" min="11" max="11" width="12.0"/>
    <col customWidth="1" min="12" max="12" width="34.0"/>
    <col customWidth="1" min="13" max="13" width="70.0"/>
    <col customWidth="1" min="14" max="14" width="12.0"/>
    <col customWidth="1" min="15" max="26" width="8.71"/>
  </cols>
  <sheetData>
    <row r="1">
      <c r="A1" s="2" t="s">
        <v>1</v>
      </c>
      <c r="B1" s="2" t="s">
        <v>11</v>
      </c>
      <c r="C1" s="2" t="s">
        <v>13</v>
      </c>
      <c r="D1" s="2" t="s">
        <v>16</v>
      </c>
      <c r="E1" s="2" t="s">
        <v>19</v>
      </c>
      <c r="F1" s="2" t="s">
        <v>24</v>
      </c>
      <c r="G1" s="2" t="s">
        <v>29</v>
      </c>
      <c r="H1" s="2" t="s">
        <v>35</v>
      </c>
      <c r="I1" s="2" t="s">
        <v>36</v>
      </c>
      <c r="J1" s="2" t="s">
        <v>38</v>
      </c>
      <c r="K1" s="2" t="s">
        <v>46</v>
      </c>
      <c r="L1" s="2" t="s">
        <v>48</v>
      </c>
      <c r="M1" s="2" t="s">
        <v>51</v>
      </c>
      <c r="N1" s="2" t="s">
        <v>53</v>
      </c>
    </row>
    <row r="2">
      <c r="A2" s="8" t="s">
        <v>34</v>
      </c>
      <c r="B2" s="8" t="s">
        <v>57</v>
      </c>
      <c r="C2" s="8" t="s">
        <v>60</v>
      </c>
      <c r="D2" s="8" t="s">
        <v>42</v>
      </c>
      <c r="E2" s="8" t="s">
        <v>44</v>
      </c>
      <c r="F2" s="8"/>
      <c r="G2" s="8"/>
      <c r="H2" s="8">
        <v>4.0</v>
      </c>
      <c r="I2" s="8">
        <v>0.0</v>
      </c>
      <c r="J2" s="8">
        <v>7.0</v>
      </c>
      <c r="K2" s="8" t="s">
        <v>72</v>
      </c>
      <c r="L2" s="8" t="s">
        <v>73</v>
      </c>
      <c r="M2" s="8"/>
      <c r="N2" s="8">
        <v>182.0</v>
      </c>
    </row>
    <row r="3">
      <c r="A3" s="8" t="s">
        <v>34</v>
      </c>
      <c r="B3" s="8" t="s">
        <v>57</v>
      </c>
      <c r="C3" s="8" t="s">
        <v>82</v>
      </c>
      <c r="D3" s="8" t="s">
        <v>42</v>
      </c>
      <c r="E3" s="8" t="s">
        <v>44</v>
      </c>
      <c r="F3" s="8"/>
      <c r="G3" s="8"/>
      <c r="H3" s="8">
        <v>4.0</v>
      </c>
      <c r="I3" s="8">
        <v>0.0</v>
      </c>
      <c r="J3" s="8">
        <v>7.0</v>
      </c>
      <c r="K3" s="8" t="s">
        <v>93</v>
      </c>
      <c r="L3" s="8" t="s">
        <v>94</v>
      </c>
      <c r="M3" s="8"/>
      <c r="N3" s="8">
        <v>188.0</v>
      </c>
    </row>
    <row r="4">
      <c r="A4" s="8" t="s">
        <v>34</v>
      </c>
      <c r="B4" s="8" t="s">
        <v>99</v>
      </c>
      <c r="C4" s="8" t="s">
        <v>101</v>
      </c>
      <c r="D4" s="8" t="s">
        <v>42</v>
      </c>
      <c r="E4" s="8" t="s">
        <v>44</v>
      </c>
      <c r="F4" s="8"/>
      <c r="G4" s="8" t="s">
        <v>67</v>
      </c>
      <c r="H4" s="8">
        <v>4.0</v>
      </c>
      <c r="I4" s="8">
        <v>5.0</v>
      </c>
      <c r="J4" s="8">
        <v>4.0</v>
      </c>
      <c r="K4" s="8" t="s">
        <v>111</v>
      </c>
      <c r="L4" s="8" t="s">
        <v>113</v>
      </c>
      <c r="M4" s="8"/>
      <c r="N4" s="8">
        <v>220.0</v>
      </c>
    </row>
    <row r="5">
      <c r="A5" s="8" t="s">
        <v>34</v>
      </c>
      <c r="B5" s="8" t="s">
        <v>120</v>
      </c>
      <c r="C5" s="8" t="s">
        <v>122</v>
      </c>
      <c r="D5" s="8" t="s">
        <v>83</v>
      </c>
      <c r="E5" s="8" t="s">
        <v>85</v>
      </c>
      <c r="F5" s="8"/>
      <c r="G5" s="8" t="s">
        <v>91</v>
      </c>
      <c r="H5" s="8">
        <v>9.0</v>
      </c>
      <c r="I5" s="8">
        <v>5.0</v>
      </c>
      <c r="J5" s="8">
        <v>6.0</v>
      </c>
      <c r="K5" s="8" t="s">
        <v>111</v>
      </c>
      <c r="L5" s="8" t="s">
        <v>113</v>
      </c>
      <c r="M5" s="8"/>
      <c r="N5" s="8">
        <v>267.0</v>
      </c>
    </row>
    <row r="6">
      <c r="A6" s="8" t="s">
        <v>34</v>
      </c>
      <c r="B6" s="8" t="s">
        <v>132</v>
      </c>
      <c r="C6" s="8" t="s">
        <v>134</v>
      </c>
      <c r="D6" s="8" t="s">
        <v>83</v>
      </c>
      <c r="E6" s="8" t="s">
        <v>85</v>
      </c>
      <c r="F6" s="8"/>
      <c r="G6" s="8" t="s">
        <v>98</v>
      </c>
      <c r="H6" s="8">
        <v>9.0</v>
      </c>
      <c r="I6" s="8">
        <v>5.0</v>
      </c>
      <c r="J6" s="8">
        <v>5.0</v>
      </c>
      <c r="K6" s="8" t="s">
        <v>111</v>
      </c>
      <c r="L6" s="8" t="s">
        <v>113</v>
      </c>
      <c r="M6" s="8"/>
      <c r="N6" s="8">
        <v>284.0</v>
      </c>
    </row>
    <row r="7">
      <c r="A7" s="8" t="s">
        <v>34</v>
      </c>
      <c r="B7" s="8" t="s">
        <v>141</v>
      </c>
      <c r="C7" s="8" t="s">
        <v>143</v>
      </c>
      <c r="D7" s="8" t="s">
        <v>124</v>
      </c>
      <c r="E7" s="8" t="s">
        <v>125</v>
      </c>
      <c r="F7" s="8"/>
      <c r="G7" s="8"/>
      <c r="H7" s="8">
        <v>11.0</v>
      </c>
      <c r="I7" s="8">
        <v>16.0</v>
      </c>
      <c r="J7" s="8">
        <v>6.0</v>
      </c>
      <c r="K7" s="8" t="s">
        <v>111</v>
      </c>
      <c r="L7" s="8" t="s">
        <v>113</v>
      </c>
      <c r="M7" s="8"/>
      <c r="N7" s="8">
        <v>319.0</v>
      </c>
    </row>
    <row r="8">
      <c r="A8" s="8" t="s">
        <v>34</v>
      </c>
      <c r="B8" s="8" t="s">
        <v>154</v>
      </c>
      <c r="C8" s="8" t="s">
        <v>156</v>
      </c>
      <c r="D8" s="8" t="s">
        <v>129</v>
      </c>
      <c r="E8" s="8" t="s">
        <v>130</v>
      </c>
      <c r="F8" s="8"/>
      <c r="G8" s="8" t="s">
        <v>138</v>
      </c>
      <c r="H8" s="8">
        <v>13.0</v>
      </c>
      <c r="I8" s="8">
        <v>6.0</v>
      </c>
      <c r="J8" s="8">
        <v>3.0</v>
      </c>
      <c r="K8" s="8" t="s">
        <v>164</v>
      </c>
      <c r="L8" s="8" t="s">
        <v>166</v>
      </c>
      <c r="M8" s="8"/>
      <c r="N8" s="8">
        <v>353.0</v>
      </c>
    </row>
    <row r="9">
      <c r="A9" s="8" t="s">
        <v>34</v>
      </c>
      <c r="B9" s="8" t="s">
        <v>168</v>
      </c>
      <c r="C9" s="8" t="s">
        <v>169</v>
      </c>
      <c r="D9" s="8" t="s">
        <v>129</v>
      </c>
      <c r="E9" s="8" t="s">
        <v>130</v>
      </c>
      <c r="F9" s="8"/>
      <c r="G9" s="8" t="s">
        <v>140</v>
      </c>
      <c r="H9" s="8">
        <v>13.0</v>
      </c>
      <c r="I9" s="8">
        <v>4.0</v>
      </c>
      <c r="J9" s="8">
        <v>5.0</v>
      </c>
      <c r="K9" s="8" t="s">
        <v>164</v>
      </c>
      <c r="L9" s="8" t="s">
        <v>166</v>
      </c>
      <c r="M9" s="8"/>
      <c r="N9" s="8">
        <v>377.0</v>
      </c>
    </row>
    <row r="10">
      <c r="A10" s="8" t="s">
        <v>34</v>
      </c>
      <c r="B10" s="8" t="s">
        <v>176</v>
      </c>
      <c r="C10" s="8" t="s">
        <v>177</v>
      </c>
      <c r="D10" s="8" t="s">
        <v>153</v>
      </c>
      <c r="E10" s="8" t="s">
        <v>155</v>
      </c>
      <c r="F10" s="8"/>
      <c r="G10" s="8" t="s">
        <v>161</v>
      </c>
      <c r="H10" s="8">
        <v>16.0</v>
      </c>
      <c r="I10" s="8">
        <v>4.0</v>
      </c>
      <c r="J10" s="8">
        <v>6.0</v>
      </c>
      <c r="K10" s="8" t="s">
        <v>93</v>
      </c>
      <c r="L10" s="8" t="s">
        <v>94</v>
      </c>
      <c r="M10" s="8"/>
      <c r="N10" s="8">
        <v>409.0</v>
      </c>
    </row>
    <row r="11">
      <c r="A11" s="8" t="s">
        <v>34</v>
      </c>
      <c r="B11" s="8" t="s">
        <v>186</v>
      </c>
      <c r="C11" s="8" t="s">
        <v>188</v>
      </c>
      <c r="D11" s="8" t="s">
        <v>153</v>
      </c>
      <c r="E11" s="8" t="s">
        <v>155</v>
      </c>
      <c r="F11" s="8"/>
      <c r="G11" s="8" t="s">
        <v>167</v>
      </c>
      <c r="H11" s="8">
        <v>16.0</v>
      </c>
      <c r="I11" s="8">
        <v>5.0</v>
      </c>
      <c r="J11" s="8">
        <v>6.0</v>
      </c>
      <c r="K11" s="8" t="s">
        <v>93</v>
      </c>
      <c r="L11" s="8" t="s">
        <v>94</v>
      </c>
      <c r="M11" s="8"/>
      <c r="N11" s="8">
        <v>425.0</v>
      </c>
    </row>
    <row r="12">
      <c r="A12" s="8" t="s">
        <v>34</v>
      </c>
      <c r="B12" s="8" t="s">
        <v>194</v>
      </c>
      <c r="C12" s="8" t="s">
        <v>195</v>
      </c>
      <c r="D12" s="8" t="s">
        <v>153</v>
      </c>
      <c r="E12" s="8" t="s">
        <v>155</v>
      </c>
      <c r="F12" s="8"/>
      <c r="G12" s="8" t="s">
        <v>171</v>
      </c>
      <c r="H12" s="8">
        <v>16.0</v>
      </c>
      <c r="I12" s="8">
        <v>5.0</v>
      </c>
      <c r="J12" s="8">
        <v>6.0</v>
      </c>
      <c r="K12" s="8" t="s">
        <v>198</v>
      </c>
      <c r="L12" s="8" t="s">
        <v>199</v>
      </c>
      <c r="M12" s="8"/>
      <c r="N12" s="8">
        <v>444.0</v>
      </c>
    </row>
    <row r="13">
      <c r="A13" s="8" t="s">
        <v>34</v>
      </c>
      <c r="B13" s="8" t="s">
        <v>204</v>
      </c>
      <c r="C13" s="8" t="s">
        <v>205</v>
      </c>
      <c r="D13" s="8" t="s">
        <v>181</v>
      </c>
      <c r="E13" s="8" t="s">
        <v>182</v>
      </c>
      <c r="F13" s="8"/>
      <c r="G13" s="8" t="s">
        <v>190</v>
      </c>
      <c r="H13" s="8">
        <v>18.0</v>
      </c>
      <c r="I13" s="8">
        <v>12.0</v>
      </c>
      <c r="J13" s="8">
        <v>10.0</v>
      </c>
      <c r="K13" s="8" t="s">
        <v>214</v>
      </c>
      <c r="L13" s="8" t="s">
        <v>217</v>
      </c>
      <c r="M13" s="8"/>
      <c r="N13" s="8">
        <v>471.0</v>
      </c>
    </row>
    <row r="14">
      <c r="A14" s="8" t="s">
        <v>34</v>
      </c>
      <c r="B14" s="8" t="s">
        <v>221</v>
      </c>
      <c r="C14" s="8" t="s">
        <v>222</v>
      </c>
      <c r="D14" s="8" t="s">
        <v>181</v>
      </c>
      <c r="E14" s="8" t="s">
        <v>182</v>
      </c>
      <c r="F14" s="8"/>
      <c r="G14" s="8" t="s">
        <v>193</v>
      </c>
      <c r="H14" s="8">
        <v>18.0</v>
      </c>
      <c r="I14" s="8">
        <v>9.0</v>
      </c>
      <c r="J14" s="8">
        <v>6.0</v>
      </c>
      <c r="K14" s="8" t="s">
        <v>214</v>
      </c>
      <c r="L14" s="8" t="s">
        <v>217</v>
      </c>
      <c r="M14" s="8"/>
      <c r="N14" s="8">
        <v>499.0</v>
      </c>
    </row>
    <row r="15">
      <c r="A15" s="8" t="s">
        <v>34</v>
      </c>
      <c r="B15" s="8" t="s">
        <v>226</v>
      </c>
      <c r="C15" s="8" t="s">
        <v>229</v>
      </c>
      <c r="D15" s="8" t="s">
        <v>210</v>
      </c>
      <c r="E15" s="8" t="s">
        <v>211</v>
      </c>
      <c r="F15" s="8"/>
      <c r="G15" s="8" t="s">
        <v>220</v>
      </c>
      <c r="H15" s="8">
        <v>21.0</v>
      </c>
      <c r="I15" s="8">
        <v>5.0</v>
      </c>
      <c r="J15" s="8">
        <v>8.0</v>
      </c>
      <c r="K15" s="8" t="s">
        <v>237</v>
      </c>
      <c r="L15" s="8" t="s">
        <v>238</v>
      </c>
      <c r="M15" s="8"/>
      <c r="N15" s="8">
        <v>532.0</v>
      </c>
    </row>
    <row r="16">
      <c r="A16" s="8" t="s">
        <v>34</v>
      </c>
      <c r="B16" s="8" t="s">
        <v>240</v>
      </c>
      <c r="C16" s="8" t="s">
        <v>242</v>
      </c>
      <c r="D16" s="8" t="s">
        <v>210</v>
      </c>
      <c r="E16" s="8" t="s">
        <v>211</v>
      </c>
      <c r="F16" s="8"/>
      <c r="G16" s="8" t="s">
        <v>228</v>
      </c>
      <c r="H16" s="8">
        <v>21.0</v>
      </c>
      <c r="I16" s="8">
        <v>5.0</v>
      </c>
      <c r="J16" s="8">
        <v>5.0</v>
      </c>
      <c r="K16" s="8" t="s">
        <v>237</v>
      </c>
      <c r="L16" s="8" t="s">
        <v>238</v>
      </c>
      <c r="M16" s="8"/>
      <c r="N16" s="8">
        <v>565.0</v>
      </c>
    </row>
    <row r="17">
      <c r="A17" s="8" t="s">
        <v>34</v>
      </c>
      <c r="B17" s="8" t="s">
        <v>249</v>
      </c>
      <c r="C17" s="8" t="s">
        <v>250</v>
      </c>
      <c r="D17" s="8" t="s">
        <v>241</v>
      </c>
      <c r="E17" s="8" t="s">
        <v>243</v>
      </c>
      <c r="F17" s="8"/>
      <c r="G17" s="8" t="s">
        <v>247</v>
      </c>
      <c r="H17" s="8">
        <v>24.0</v>
      </c>
      <c r="I17" s="8">
        <v>13.0</v>
      </c>
      <c r="J17" s="8">
        <v>6.0</v>
      </c>
      <c r="K17" s="8" t="s">
        <v>256</v>
      </c>
      <c r="L17" s="8" t="s">
        <v>257</v>
      </c>
      <c r="M17" s="8"/>
      <c r="N17" s="8">
        <v>588.0</v>
      </c>
    </row>
    <row r="18">
      <c r="A18" s="8" t="s">
        <v>34</v>
      </c>
      <c r="B18" s="8" t="s">
        <v>260</v>
      </c>
      <c r="C18" s="8" t="s">
        <v>261</v>
      </c>
      <c r="D18" s="8" t="s">
        <v>263</v>
      </c>
      <c r="E18" s="8" t="s">
        <v>264</v>
      </c>
      <c r="F18" s="8"/>
      <c r="G18" s="8"/>
      <c r="H18" s="8">
        <v>26.0</v>
      </c>
      <c r="I18" s="8">
        <v>5.0</v>
      </c>
      <c r="J18" s="8">
        <v>4.0</v>
      </c>
      <c r="K18" s="8" t="s">
        <v>265</v>
      </c>
      <c r="L18" s="8" t="s">
        <v>266</v>
      </c>
      <c r="M18" s="8"/>
      <c r="N18" s="8">
        <v>631.0</v>
      </c>
    </row>
    <row r="19">
      <c r="A19" s="8" t="s">
        <v>34</v>
      </c>
      <c r="B19" s="8" t="s">
        <v>269</v>
      </c>
      <c r="C19" s="8" t="s">
        <v>271</v>
      </c>
      <c r="D19" s="8" t="s">
        <v>272</v>
      </c>
      <c r="E19" s="8" t="s">
        <v>273</v>
      </c>
      <c r="F19" s="8"/>
      <c r="G19" s="8" t="s">
        <v>275</v>
      </c>
      <c r="H19" s="8">
        <v>28.0</v>
      </c>
      <c r="I19" s="8">
        <v>7.0</v>
      </c>
      <c r="J19" s="8">
        <v>4.0</v>
      </c>
      <c r="K19" s="8" t="s">
        <v>111</v>
      </c>
      <c r="L19" s="8" t="s">
        <v>113</v>
      </c>
      <c r="M19" s="8"/>
      <c r="N19" s="8">
        <v>660.0</v>
      </c>
    </row>
    <row r="20">
      <c r="A20" s="8" t="s">
        <v>34</v>
      </c>
      <c r="B20" s="8" t="s">
        <v>281</v>
      </c>
      <c r="C20" s="8" t="s">
        <v>282</v>
      </c>
      <c r="D20" s="8" t="s">
        <v>284</v>
      </c>
      <c r="E20" s="8" t="s">
        <v>285</v>
      </c>
      <c r="F20" s="8"/>
      <c r="G20" s="8"/>
      <c r="H20" s="8">
        <v>30.0</v>
      </c>
      <c r="I20" s="8">
        <v>9.0</v>
      </c>
      <c r="J20" s="8">
        <v>4.0</v>
      </c>
      <c r="K20" s="8" t="s">
        <v>287</v>
      </c>
      <c r="L20" s="8" t="s">
        <v>289</v>
      </c>
      <c r="M20" s="8"/>
      <c r="N20" s="8">
        <v>691.0</v>
      </c>
    </row>
    <row r="21" ht="15.75" customHeight="1">
      <c r="A21" s="8" t="s">
        <v>34</v>
      </c>
      <c r="B21" s="8" t="s">
        <v>290</v>
      </c>
      <c r="C21" s="8" t="s">
        <v>291</v>
      </c>
      <c r="D21" s="8" t="s">
        <v>292</v>
      </c>
      <c r="E21" s="8" t="s">
        <v>293</v>
      </c>
      <c r="F21" s="8"/>
      <c r="G21" s="8"/>
      <c r="H21" s="8">
        <v>32.0</v>
      </c>
      <c r="I21" s="8">
        <v>7.0</v>
      </c>
      <c r="J21" s="8">
        <v>5.0</v>
      </c>
      <c r="K21" s="8" t="s">
        <v>298</v>
      </c>
      <c r="L21" s="8" t="s">
        <v>299</v>
      </c>
      <c r="M21" s="8"/>
      <c r="N21" s="8">
        <v>736.0</v>
      </c>
    </row>
    <row r="22" ht="15.75" customHeight="1">
      <c r="A22" s="8" t="s">
        <v>34</v>
      </c>
      <c r="B22" s="8" t="s">
        <v>301</v>
      </c>
      <c r="C22" s="8" t="s">
        <v>302</v>
      </c>
      <c r="D22" s="8" t="s">
        <v>303</v>
      </c>
      <c r="E22" s="8" t="s">
        <v>305</v>
      </c>
      <c r="F22" s="8"/>
      <c r="G22" s="8" t="s">
        <v>306</v>
      </c>
      <c r="H22" s="8">
        <v>33.0</v>
      </c>
      <c r="I22" s="8">
        <v>13.0</v>
      </c>
      <c r="J22" s="8">
        <v>3.0</v>
      </c>
      <c r="K22" s="8" t="s">
        <v>308</v>
      </c>
      <c r="L22" s="8" t="s">
        <v>309</v>
      </c>
      <c r="M22" s="8"/>
      <c r="N22" s="8">
        <v>761.0</v>
      </c>
    </row>
    <row r="23" ht="15.75" customHeight="1">
      <c r="A23" s="8" t="s">
        <v>34</v>
      </c>
      <c r="B23" s="8" t="s">
        <v>311</v>
      </c>
      <c r="C23" s="8" t="s">
        <v>313</v>
      </c>
      <c r="D23" s="8" t="s">
        <v>303</v>
      </c>
      <c r="E23" s="8" t="s">
        <v>305</v>
      </c>
      <c r="F23" s="8"/>
      <c r="G23" s="8" t="s">
        <v>314</v>
      </c>
      <c r="H23" s="8">
        <v>33.0</v>
      </c>
      <c r="I23" s="8">
        <v>11.0</v>
      </c>
      <c r="J23" s="8">
        <v>5.0</v>
      </c>
      <c r="K23" s="8" t="s">
        <v>308</v>
      </c>
      <c r="L23" s="8" t="s">
        <v>309</v>
      </c>
      <c r="M23" s="8"/>
      <c r="N23" s="8">
        <v>784.0</v>
      </c>
    </row>
    <row r="24" ht="15.75" customHeight="1">
      <c r="A24" s="8" t="s">
        <v>34</v>
      </c>
      <c r="B24" s="8" t="s">
        <v>316</v>
      </c>
      <c r="C24" s="8" t="s">
        <v>317</v>
      </c>
      <c r="D24" s="8" t="s">
        <v>318</v>
      </c>
      <c r="E24" s="8" t="s">
        <v>319</v>
      </c>
      <c r="F24" s="8"/>
      <c r="G24" s="8"/>
      <c r="H24" s="8">
        <v>35.0</v>
      </c>
      <c r="I24" s="8">
        <v>14.0</v>
      </c>
      <c r="J24" s="8">
        <v>5.0</v>
      </c>
      <c r="K24" s="8" t="s">
        <v>321</v>
      </c>
      <c r="L24" s="8" t="s">
        <v>322</v>
      </c>
      <c r="M24" s="8"/>
      <c r="N24" s="8">
        <v>815.0</v>
      </c>
    </row>
    <row r="25" ht="15.75" customHeight="1">
      <c r="A25" s="8" t="s">
        <v>34</v>
      </c>
      <c r="B25" s="8" t="s">
        <v>324</v>
      </c>
      <c r="C25" s="8" t="s">
        <v>325</v>
      </c>
      <c r="D25" s="8" t="s">
        <v>277</v>
      </c>
      <c r="E25" s="8" t="s">
        <v>326</v>
      </c>
      <c r="F25" s="8"/>
      <c r="G25" s="8"/>
      <c r="H25" s="8">
        <v>28.0</v>
      </c>
      <c r="I25" s="8">
        <v>5.0</v>
      </c>
      <c r="J25" s="8">
        <v>16.0</v>
      </c>
      <c r="K25" s="8" t="s">
        <v>328</v>
      </c>
      <c r="L25" s="8" t="s">
        <v>329</v>
      </c>
      <c r="M25" s="8"/>
      <c r="N25" s="8">
        <v>918.0</v>
      </c>
    </row>
    <row r="26" ht="15.75" customHeight="1">
      <c r="A26" s="8" t="s">
        <v>34</v>
      </c>
      <c r="B26" s="8" t="s">
        <v>331</v>
      </c>
      <c r="C26" s="8" t="s">
        <v>332</v>
      </c>
      <c r="D26" s="8" t="s">
        <v>334</v>
      </c>
      <c r="E26" s="8" t="s">
        <v>335</v>
      </c>
      <c r="F26" s="8"/>
      <c r="G26" s="8"/>
      <c r="H26" s="8">
        <v>39.0</v>
      </c>
      <c r="I26" s="8">
        <v>19.0</v>
      </c>
      <c r="J26" s="8">
        <v>6.0</v>
      </c>
      <c r="K26" s="8" t="s">
        <v>328</v>
      </c>
      <c r="L26" s="8" t="s">
        <v>329</v>
      </c>
      <c r="M26" s="8"/>
      <c r="N26" s="8">
        <v>934.0</v>
      </c>
    </row>
    <row r="27" ht="15.75" customHeight="1">
      <c r="A27" s="8" t="s">
        <v>34</v>
      </c>
      <c r="B27" s="8" t="s">
        <v>338</v>
      </c>
      <c r="C27" s="8" t="s">
        <v>340</v>
      </c>
      <c r="D27" s="8" t="s">
        <v>341</v>
      </c>
      <c r="E27" s="8" t="s">
        <v>342</v>
      </c>
      <c r="F27" s="8"/>
      <c r="G27" s="8"/>
      <c r="H27" s="8">
        <v>41.0</v>
      </c>
      <c r="I27" s="8">
        <v>14.0</v>
      </c>
      <c r="J27" s="8">
        <v>4.0</v>
      </c>
      <c r="K27" s="8" t="s">
        <v>328</v>
      </c>
      <c r="L27" s="8" t="s">
        <v>329</v>
      </c>
      <c r="M27" s="8"/>
      <c r="N27" s="8">
        <v>964.0</v>
      </c>
    </row>
    <row r="28" ht="15.75" customHeight="1">
      <c r="A28" s="8" t="s">
        <v>34</v>
      </c>
      <c r="B28" s="8" t="s">
        <v>347</v>
      </c>
      <c r="C28" s="8" t="s">
        <v>348</v>
      </c>
      <c r="D28" s="8" t="s">
        <v>349</v>
      </c>
      <c r="E28" s="8" t="s">
        <v>351</v>
      </c>
      <c r="F28" s="8"/>
      <c r="G28" s="8"/>
      <c r="H28" s="8">
        <v>42.0</v>
      </c>
      <c r="I28" s="8">
        <v>11.0</v>
      </c>
      <c r="J28" s="8">
        <v>5.0</v>
      </c>
      <c r="K28" s="8" t="s">
        <v>328</v>
      </c>
      <c r="L28" s="8" t="s">
        <v>329</v>
      </c>
      <c r="M28" s="8"/>
      <c r="N28" s="8">
        <v>989.0</v>
      </c>
    </row>
    <row r="29" ht="15.75" customHeight="1">
      <c r="A29" s="8" t="s">
        <v>128</v>
      </c>
      <c r="B29" s="8" t="s">
        <v>57</v>
      </c>
      <c r="C29" s="8" t="s">
        <v>60</v>
      </c>
      <c r="D29" s="8" t="s">
        <v>42</v>
      </c>
      <c r="E29" s="8" t="s">
        <v>44</v>
      </c>
      <c r="F29" s="8"/>
      <c r="G29" s="8"/>
      <c r="H29" s="8">
        <v>4.0</v>
      </c>
      <c r="I29" s="8">
        <v>0.0</v>
      </c>
      <c r="J29" s="8">
        <v>7.0</v>
      </c>
      <c r="K29" s="8" t="s">
        <v>72</v>
      </c>
      <c r="L29" s="8" t="s">
        <v>73</v>
      </c>
      <c r="M29" s="8"/>
      <c r="N29" s="8">
        <v>190.0</v>
      </c>
    </row>
    <row r="30" ht="15.75" customHeight="1">
      <c r="A30" s="8" t="s">
        <v>128</v>
      </c>
      <c r="B30" s="8" t="s">
        <v>57</v>
      </c>
      <c r="C30" s="8" t="s">
        <v>356</v>
      </c>
      <c r="D30" s="8" t="s">
        <v>42</v>
      </c>
      <c r="E30" s="8" t="s">
        <v>44</v>
      </c>
      <c r="F30" s="8"/>
      <c r="G30" s="8"/>
      <c r="H30" s="8">
        <v>4.0</v>
      </c>
      <c r="I30" s="8">
        <v>0.0</v>
      </c>
      <c r="J30" s="8">
        <v>7.0</v>
      </c>
      <c r="K30" s="8" t="s">
        <v>237</v>
      </c>
      <c r="L30" s="8" t="s">
        <v>238</v>
      </c>
      <c r="M30" s="8"/>
      <c r="N30" s="8">
        <v>202.0</v>
      </c>
    </row>
    <row r="31" ht="15.75" customHeight="1">
      <c r="A31" s="8" t="s">
        <v>128</v>
      </c>
      <c r="B31" s="8" t="s">
        <v>99</v>
      </c>
      <c r="C31" s="8" t="s">
        <v>359</v>
      </c>
      <c r="D31" s="8" t="s">
        <v>42</v>
      </c>
      <c r="E31" s="8" t="s">
        <v>44</v>
      </c>
      <c r="F31" s="8"/>
      <c r="G31" s="8" t="s">
        <v>360</v>
      </c>
      <c r="H31" s="8">
        <v>4.0</v>
      </c>
      <c r="I31" s="8">
        <v>5.0</v>
      </c>
      <c r="J31" s="8">
        <v>4.0</v>
      </c>
      <c r="K31" s="8" t="s">
        <v>72</v>
      </c>
      <c r="L31" s="8" t="s">
        <v>73</v>
      </c>
      <c r="M31" s="8" t="s">
        <v>361</v>
      </c>
      <c r="N31" s="8">
        <v>241.0</v>
      </c>
    </row>
    <row r="32" ht="15.75" customHeight="1">
      <c r="A32" s="8" t="s">
        <v>128</v>
      </c>
      <c r="B32" s="8" t="s">
        <v>132</v>
      </c>
      <c r="C32" s="8" t="s">
        <v>362</v>
      </c>
      <c r="D32" s="8" t="s">
        <v>83</v>
      </c>
      <c r="E32" s="8" t="s">
        <v>363</v>
      </c>
      <c r="F32" s="8"/>
      <c r="G32" s="8"/>
      <c r="H32" s="8">
        <v>8.0</v>
      </c>
      <c r="I32" s="8">
        <v>4.0</v>
      </c>
      <c r="J32" s="8">
        <v>4.0</v>
      </c>
      <c r="K32" s="8" t="s">
        <v>111</v>
      </c>
      <c r="L32" s="8" t="s">
        <v>113</v>
      </c>
      <c r="M32" s="8"/>
      <c r="N32" s="8">
        <v>274.0</v>
      </c>
    </row>
    <row r="33" ht="15.75" customHeight="1">
      <c r="A33" s="8" t="s">
        <v>128</v>
      </c>
      <c r="B33" s="8" t="s">
        <v>120</v>
      </c>
      <c r="C33" s="8" t="s">
        <v>367</v>
      </c>
      <c r="D33" s="8" t="s">
        <v>83</v>
      </c>
      <c r="E33" s="8" t="s">
        <v>363</v>
      </c>
      <c r="F33" s="8" t="s">
        <v>368</v>
      </c>
      <c r="G33" s="8" t="s">
        <v>369</v>
      </c>
      <c r="H33" s="8">
        <v>8.0</v>
      </c>
      <c r="I33" s="8">
        <v>5.0</v>
      </c>
      <c r="J33" s="8">
        <v>5.0</v>
      </c>
      <c r="K33" s="8" t="s">
        <v>111</v>
      </c>
      <c r="L33" s="8" t="s">
        <v>113</v>
      </c>
      <c r="M33" s="8"/>
      <c r="N33" s="8">
        <v>292.0</v>
      </c>
    </row>
    <row r="34" ht="15.75" customHeight="1">
      <c r="A34" s="8" t="s">
        <v>128</v>
      </c>
      <c r="B34" s="8" t="s">
        <v>57</v>
      </c>
      <c r="C34" s="8" t="s">
        <v>373</v>
      </c>
      <c r="D34" s="8" t="s">
        <v>83</v>
      </c>
      <c r="E34" s="8" t="s">
        <v>363</v>
      </c>
      <c r="F34" s="8" t="s">
        <v>374</v>
      </c>
      <c r="G34" s="8" t="s">
        <v>376</v>
      </c>
      <c r="H34" s="8">
        <v>9.0</v>
      </c>
      <c r="I34" s="8">
        <v>0.0</v>
      </c>
      <c r="J34" s="8">
        <v>2.0</v>
      </c>
      <c r="K34" s="8" t="s">
        <v>111</v>
      </c>
      <c r="L34" s="8" t="s">
        <v>113</v>
      </c>
      <c r="M34" s="8"/>
      <c r="N34" s="8">
        <v>320.0</v>
      </c>
    </row>
    <row r="35" ht="15.75" customHeight="1">
      <c r="A35" s="8" t="s">
        <v>128</v>
      </c>
      <c r="B35" s="8" t="s">
        <v>132</v>
      </c>
      <c r="C35" s="8" t="s">
        <v>379</v>
      </c>
      <c r="D35" s="8" t="s">
        <v>124</v>
      </c>
      <c r="E35" s="8" t="s">
        <v>130</v>
      </c>
      <c r="F35" s="8" t="s">
        <v>381</v>
      </c>
      <c r="G35" s="8" t="s">
        <v>383</v>
      </c>
      <c r="H35" s="8">
        <v>11.0</v>
      </c>
      <c r="I35" s="8">
        <v>10.0</v>
      </c>
      <c r="J35" s="8">
        <v>4.0</v>
      </c>
      <c r="K35" s="8" t="s">
        <v>164</v>
      </c>
      <c r="L35" s="8" t="s">
        <v>166</v>
      </c>
      <c r="M35" s="8" t="s">
        <v>387</v>
      </c>
      <c r="N35" s="8">
        <v>340.0</v>
      </c>
    </row>
    <row r="36" ht="15.75" customHeight="1">
      <c r="A36" s="8" t="s">
        <v>128</v>
      </c>
      <c r="B36" s="8" t="s">
        <v>141</v>
      </c>
      <c r="C36" s="8" t="s">
        <v>390</v>
      </c>
      <c r="D36" s="8" t="s">
        <v>124</v>
      </c>
      <c r="E36" s="8" t="s">
        <v>130</v>
      </c>
      <c r="F36" s="8" t="s">
        <v>392</v>
      </c>
      <c r="G36" s="8" t="s">
        <v>393</v>
      </c>
      <c r="H36" s="8">
        <v>12.0</v>
      </c>
      <c r="I36" s="8">
        <v>0.0</v>
      </c>
      <c r="J36" s="8">
        <v>2.0</v>
      </c>
      <c r="K36" s="8" t="s">
        <v>164</v>
      </c>
      <c r="L36" s="8" t="s">
        <v>166</v>
      </c>
      <c r="M36" s="8" t="s">
        <v>395</v>
      </c>
      <c r="N36" s="8">
        <v>372.0</v>
      </c>
    </row>
    <row r="37" ht="15.75" customHeight="1">
      <c r="A37" s="8" t="s">
        <v>128</v>
      </c>
      <c r="B37" s="8" t="s">
        <v>176</v>
      </c>
      <c r="C37" s="8" t="s">
        <v>398</v>
      </c>
      <c r="D37" s="8" t="s">
        <v>124</v>
      </c>
      <c r="E37" s="8" t="s">
        <v>130</v>
      </c>
      <c r="F37" s="8" t="s">
        <v>402</v>
      </c>
      <c r="G37" s="8" t="s">
        <v>403</v>
      </c>
      <c r="H37" s="8">
        <v>15.0</v>
      </c>
      <c r="I37" s="8">
        <v>8.0</v>
      </c>
      <c r="J37" s="8">
        <v>4.0</v>
      </c>
      <c r="K37" s="8" t="s">
        <v>164</v>
      </c>
      <c r="L37" s="8" t="s">
        <v>166</v>
      </c>
      <c r="M37" s="8" t="s">
        <v>408</v>
      </c>
      <c r="N37" s="8">
        <v>416.0</v>
      </c>
    </row>
    <row r="38" ht="15.75" customHeight="1">
      <c r="A38" s="8" t="s">
        <v>128</v>
      </c>
      <c r="B38" s="8" t="s">
        <v>57</v>
      </c>
      <c r="C38" s="8" t="s">
        <v>414</v>
      </c>
      <c r="D38" s="8" t="s">
        <v>129</v>
      </c>
      <c r="E38" s="8" t="s">
        <v>417</v>
      </c>
      <c r="F38" s="8" t="s">
        <v>418</v>
      </c>
      <c r="G38" s="8" t="s">
        <v>419</v>
      </c>
      <c r="H38" s="8">
        <v>17.0</v>
      </c>
      <c r="I38" s="8">
        <v>0.0</v>
      </c>
      <c r="J38" s="8">
        <v>5.0</v>
      </c>
      <c r="K38" s="8" t="s">
        <v>93</v>
      </c>
      <c r="L38" s="8" t="s">
        <v>94</v>
      </c>
      <c r="M38" s="8" t="s">
        <v>426</v>
      </c>
      <c r="N38" s="8">
        <v>450.0</v>
      </c>
    </row>
    <row r="39" ht="15.75" customHeight="1">
      <c r="A39" s="8" t="s">
        <v>128</v>
      </c>
      <c r="B39" s="8" t="s">
        <v>429</v>
      </c>
      <c r="C39" s="8" t="s">
        <v>430</v>
      </c>
      <c r="D39" s="8" t="s">
        <v>129</v>
      </c>
      <c r="E39" s="8" t="s">
        <v>417</v>
      </c>
      <c r="F39" s="8" t="s">
        <v>433</v>
      </c>
      <c r="G39" s="8" t="s">
        <v>435</v>
      </c>
      <c r="H39" s="8">
        <v>20.0</v>
      </c>
      <c r="I39" s="8">
        <v>3.0</v>
      </c>
      <c r="J39" s="8">
        <v>3.0</v>
      </c>
      <c r="K39" s="8" t="s">
        <v>93</v>
      </c>
      <c r="L39" s="8" t="s">
        <v>94</v>
      </c>
      <c r="M39" s="8" t="s">
        <v>438</v>
      </c>
      <c r="N39" s="8">
        <v>500.0</v>
      </c>
    </row>
    <row r="40" ht="15.75" customHeight="1">
      <c r="A40" s="8" t="s">
        <v>128</v>
      </c>
      <c r="B40" s="8" t="s">
        <v>57</v>
      </c>
      <c r="C40" s="8" t="s">
        <v>440</v>
      </c>
      <c r="D40" s="8" t="s">
        <v>129</v>
      </c>
      <c r="E40" s="8" t="s">
        <v>417</v>
      </c>
      <c r="F40" s="8" t="s">
        <v>443</v>
      </c>
      <c r="G40" s="8" t="s">
        <v>444</v>
      </c>
      <c r="H40" s="8">
        <v>22.0</v>
      </c>
      <c r="I40" s="8">
        <v>0.0</v>
      </c>
      <c r="J40" s="8">
        <v>7.0</v>
      </c>
      <c r="K40" s="8" t="s">
        <v>237</v>
      </c>
      <c r="L40" s="8" t="s">
        <v>238</v>
      </c>
      <c r="M40" s="8" t="s">
        <v>448</v>
      </c>
      <c r="N40" s="8">
        <v>529.0</v>
      </c>
    </row>
    <row r="41" ht="15.75" customHeight="1">
      <c r="A41" s="8" t="s">
        <v>128</v>
      </c>
      <c r="B41" s="8" t="s">
        <v>57</v>
      </c>
      <c r="C41" s="8" t="s">
        <v>450</v>
      </c>
      <c r="D41" s="8" t="s">
        <v>129</v>
      </c>
      <c r="E41" s="8" t="s">
        <v>417</v>
      </c>
      <c r="F41" s="8" t="s">
        <v>451</v>
      </c>
      <c r="G41" s="8" t="s">
        <v>452</v>
      </c>
      <c r="H41" s="8">
        <v>22.0</v>
      </c>
      <c r="I41" s="8">
        <v>0.0</v>
      </c>
      <c r="J41" s="8">
        <v>2.0</v>
      </c>
      <c r="K41" s="8" t="s">
        <v>93</v>
      </c>
      <c r="L41" s="8" t="s">
        <v>94</v>
      </c>
      <c r="M41" s="8" t="s">
        <v>454</v>
      </c>
      <c r="N41" s="8">
        <v>543.0</v>
      </c>
    </row>
    <row r="42" ht="15.75" customHeight="1">
      <c r="A42" s="8" t="s">
        <v>128</v>
      </c>
      <c r="B42" s="8" t="s">
        <v>57</v>
      </c>
      <c r="C42" s="8" t="s">
        <v>456</v>
      </c>
      <c r="D42" s="8" t="s">
        <v>129</v>
      </c>
      <c r="E42" s="8" t="s">
        <v>417</v>
      </c>
      <c r="F42" s="8" t="s">
        <v>458</v>
      </c>
      <c r="G42" s="8" t="s">
        <v>459</v>
      </c>
      <c r="H42" s="8">
        <v>23.0</v>
      </c>
      <c r="I42" s="8">
        <v>0.0</v>
      </c>
      <c r="J42" s="8">
        <v>5.0</v>
      </c>
      <c r="K42" s="8" t="s">
        <v>93</v>
      </c>
      <c r="L42" s="8" t="s">
        <v>94</v>
      </c>
      <c r="M42" s="8"/>
      <c r="N42" s="8">
        <v>553.0</v>
      </c>
    </row>
    <row r="43" ht="15.75" customHeight="1">
      <c r="A43" s="8" t="s">
        <v>128</v>
      </c>
      <c r="B43" s="8" t="s">
        <v>186</v>
      </c>
      <c r="C43" s="8" t="s">
        <v>468</v>
      </c>
      <c r="D43" s="8" t="s">
        <v>129</v>
      </c>
      <c r="E43" s="8" t="s">
        <v>417</v>
      </c>
      <c r="F43" s="8" t="s">
        <v>467</v>
      </c>
      <c r="G43" s="8" t="s">
        <v>470</v>
      </c>
      <c r="H43" s="8">
        <v>23.0</v>
      </c>
      <c r="I43" s="8">
        <v>41.0</v>
      </c>
      <c r="J43" s="8">
        <v>10.0</v>
      </c>
      <c r="K43" s="8" t="s">
        <v>93</v>
      </c>
      <c r="L43" s="8" t="s">
        <v>94</v>
      </c>
      <c r="M43" s="8"/>
      <c r="N43" s="8">
        <v>591.0</v>
      </c>
    </row>
    <row r="44" ht="15.75" customHeight="1">
      <c r="A44" s="8" t="s">
        <v>128</v>
      </c>
      <c r="B44" s="8" t="s">
        <v>204</v>
      </c>
      <c r="C44" s="8" t="s">
        <v>480</v>
      </c>
      <c r="D44" s="8" t="s">
        <v>129</v>
      </c>
      <c r="E44" s="8" t="s">
        <v>417</v>
      </c>
      <c r="F44" s="8" t="s">
        <v>474</v>
      </c>
      <c r="G44" s="8" t="s">
        <v>476</v>
      </c>
      <c r="H44" s="8">
        <v>25.0</v>
      </c>
      <c r="I44" s="8">
        <v>12.0</v>
      </c>
      <c r="J44" s="8">
        <v>8.0</v>
      </c>
      <c r="K44" s="8" t="s">
        <v>93</v>
      </c>
      <c r="L44" s="8" t="s">
        <v>94</v>
      </c>
      <c r="M44" s="8"/>
      <c r="N44" s="8">
        <v>646.0</v>
      </c>
    </row>
    <row r="45" ht="15.75" customHeight="1">
      <c r="A45" s="8" t="s">
        <v>128</v>
      </c>
      <c r="B45" s="8" t="s">
        <v>204</v>
      </c>
      <c r="C45" s="8" t="s">
        <v>205</v>
      </c>
      <c r="D45" s="8" t="s">
        <v>153</v>
      </c>
      <c r="E45" s="8" t="s">
        <v>182</v>
      </c>
      <c r="F45" s="8" t="s">
        <v>492</v>
      </c>
      <c r="G45" s="8" t="s">
        <v>493</v>
      </c>
      <c r="H45" s="8">
        <v>28.0</v>
      </c>
      <c r="I45" s="8">
        <v>13.0</v>
      </c>
      <c r="J45" s="8">
        <v>9.0</v>
      </c>
      <c r="K45" s="8" t="s">
        <v>214</v>
      </c>
      <c r="L45" s="8" t="s">
        <v>217</v>
      </c>
      <c r="M45" s="8" t="s">
        <v>496</v>
      </c>
      <c r="N45" s="8">
        <v>704.0</v>
      </c>
    </row>
    <row r="46" ht="15.75" customHeight="1">
      <c r="A46" s="8" t="s">
        <v>128</v>
      </c>
      <c r="B46" s="8" t="s">
        <v>290</v>
      </c>
      <c r="C46" s="8" t="s">
        <v>498</v>
      </c>
      <c r="D46" s="8" t="s">
        <v>153</v>
      </c>
      <c r="E46" s="8" t="s">
        <v>182</v>
      </c>
      <c r="F46" s="8" t="s">
        <v>500</v>
      </c>
      <c r="G46" s="8" t="s">
        <v>501</v>
      </c>
      <c r="H46" s="8">
        <v>29.0</v>
      </c>
      <c r="I46" s="8">
        <v>0.0</v>
      </c>
      <c r="J46" s="8">
        <v>5.0</v>
      </c>
      <c r="K46" s="8" t="s">
        <v>214</v>
      </c>
      <c r="L46" s="8" t="s">
        <v>217</v>
      </c>
      <c r="M46" s="8"/>
      <c r="N46" s="8">
        <v>739.0</v>
      </c>
    </row>
    <row r="47" ht="15.75" customHeight="1">
      <c r="A47" s="8" t="s">
        <v>128</v>
      </c>
      <c r="B47" s="8" t="s">
        <v>221</v>
      </c>
      <c r="C47" s="8" t="s">
        <v>507</v>
      </c>
      <c r="D47" s="8" t="s">
        <v>181</v>
      </c>
      <c r="E47" s="8" t="s">
        <v>211</v>
      </c>
      <c r="F47" s="8" t="s">
        <v>509</v>
      </c>
      <c r="G47" s="8" t="s">
        <v>511</v>
      </c>
      <c r="H47" s="8">
        <v>31.0</v>
      </c>
      <c r="I47" s="8">
        <v>12.0</v>
      </c>
      <c r="J47" s="8">
        <v>6.0</v>
      </c>
      <c r="K47" s="8" t="s">
        <v>237</v>
      </c>
      <c r="L47" s="8" t="s">
        <v>238</v>
      </c>
      <c r="M47" s="8"/>
      <c r="N47" s="8">
        <v>775.0</v>
      </c>
    </row>
    <row r="48" ht="15.75" customHeight="1">
      <c r="A48" s="8" t="s">
        <v>128</v>
      </c>
      <c r="B48" s="8" t="s">
        <v>515</v>
      </c>
      <c r="C48" s="8" t="s">
        <v>516</v>
      </c>
      <c r="D48" s="8" t="s">
        <v>181</v>
      </c>
      <c r="E48" s="8" t="s">
        <v>211</v>
      </c>
      <c r="F48" s="8" t="s">
        <v>509</v>
      </c>
      <c r="G48" s="8" t="s">
        <v>511</v>
      </c>
      <c r="H48" s="8">
        <v>31.0</v>
      </c>
      <c r="I48" s="8">
        <v>7.0</v>
      </c>
      <c r="J48" s="8">
        <v>6.0</v>
      </c>
      <c r="K48" s="8" t="s">
        <v>237</v>
      </c>
      <c r="L48" s="8" t="s">
        <v>238</v>
      </c>
      <c r="M48" s="8" t="s">
        <v>525</v>
      </c>
      <c r="N48" s="8">
        <v>795.0</v>
      </c>
    </row>
    <row r="49" ht="15.75" customHeight="1">
      <c r="A49" s="8" t="s">
        <v>128</v>
      </c>
      <c r="B49" s="8" t="s">
        <v>226</v>
      </c>
      <c r="C49" s="8" t="s">
        <v>529</v>
      </c>
      <c r="D49" s="8" t="s">
        <v>210</v>
      </c>
      <c r="E49" s="8" t="s">
        <v>243</v>
      </c>
      <c r="F49" s="8" t="s">
        <v>532</v>
      </c>
      <c r="G49" s="8" t="s">
        <v>247</v>
      </c>
      <c r="H49" s="8">
        <v>34.0</v>
      </c>
      <c r="I49" s="8">
        <v>8.0</v>
      </c>
      <c r="J49" s="8">
        <v>3.0</v>
      </c>
      <c r="K49" s="8" t="s">
        <v>256</v>
      </c>
      <c r="L49" s="8" t="s">
        <v>257</v>
      </c>
      <c r="M49" s="8" t="s">
        <v>536</v>
      </c>
      <c r="N49" s="8">
        <v>850.0</v>
      </c>
    </row>
    <row r="50" ht="15.75" customHeight="1">
      <c r="A50" s="8" t="s">
        <v>128</v>
      </c>
      <c r="B50" s="8" t="s">
        <v>57</v>
      </c>
      <c r="C50" s="8" t="s">
        <v>538</v>
      </c>
      <c r="D50" s="8" t="s">
        <v>210</v>
      </c>
      <c r="E50" s="8" t="s">
        <v>243</v>
      </c>
      <c r="F50" s="8" t="s">
        <v>541</v>
      </c>
      <c r="G50" s="8" t="s">
        <v>259</v>
      </c>
      <c r="H50" s="8">
        <v>35.0</v>
      </c>
      <c r="I50" s="8">
        <v>0.0</v>
      </c>
      <c r="J50" s="8">
        <v>5.0</v>
      </c>
      <c r="K50" s="8" t="s">
        <v>256</v>
      </c>
      <c r="L50" s="8" t="s">
        <v>257</v>
      </c>
      <c r="M50" s="8"/>
      <c r="N50" s="8">
        <v>870.0</v>
      </c>
    </row>
    <row r="51" ht="15.75" customHeight="1">
      <c r="A51" s="8" t="s">
        <v>128</v>
      </c>
      <c r="B51" s="8" t="s">
        <v>546</v>
      </c>
      <c r="C51" s="8" t="s">
        <v>261</v>
      </c>
      <c r="D51" s="8" t="s">
        <v>241</v>
      </c>
      <c r="E51" s="8" t="s">
        <v>264</v>
      </c>
      <c r="F51" s="8"/>
      <c r="G51" s="8"/>
      <c r="H51" s="8">
        <v>36.0</v>
      </c>
      <c r="I51" s="8">
        <v>5.0</v>
      </c>
      <c r="J51" s="8">
        <v>4.0</v>
      </c>
      <c r="K51" s="8" t="s">
        <v>265</v>
      </c>
      <c r="L51" s="8" t="s">
        <v>266</v>
      </c>
      <c r="M51" s="8" t="s">
        <v>552</v>
      </c>
      <c r="N51" s="8">
        <v>900.0</v>
      </c>
    </row>
    <row r="52" ht="15.75" customHeight="1">
      <c r="A52" s="8" t="s">
        <v>128</v>
      </c>
      <c r="B52" s="8" t="s">
        <v>249</v>
      </c>
      <c r="C52" s="8" t="s">
        <v>556</v>
      </c>
      <c r="D52" s="8" t="s">
        <v>263</v>
      </c>
      <c r="E52" s="8" t="s">
        <v>285</v>
      </c>
      <c r="F52" s="8"/>
      <c r="G52" s="8"/>
      <c r="H52" s="8">
        <v>38.0</v>
      </c>
      <c r="I52" s="8">
        <v>9.0</v>
      </c>
      <c r="J52" s="8">
        <v>4.0</v>
      </c>
      <c r="K52" s="8" t="s">
        <v>287</v>
      </c>
      <c r="L52" s="8" t="s">
        <v>289</v>
      </c>
      <c r="M52" s="8" t="s">
        <v>562</v>
      </c>
      <c r="N52" s="8">
        <v>925.0</v>
      </c>
    </row>
    <row r="53" ht="15.75" customHeight="1">
      <c r="A53" s="8" t="s">
        <v>128</v>
      </c>
      <c r="B53" s="8" t="s">
        <v>564</v>
      </c>
      <c r="C53" s="8" t="s">
        <v>565</v>
      </c>
      <c r="D53" s="8" t="s">
        <v>272</v>
      </c>
      <c r="E53" s="8" t="s">
        <v>567</v>
      </c>
      <c r="F53" s="8"/>
      <c r="G53" s="8"/>
      <c r="H53" s="8">
        <v>40.0</v>
      </c>
      <c r="I53" s="8">
        <v>7.0</v>
      </c>
      <c r="J53" s="8">
        <v>4.0</v>
      </c>
      <c r="K53" s="8" t="s">
        <v>298</v>
      </c>
      <c r="L53" s="8" t="s">
        <v>299</v>
      </c>
      <c r="M53" s="8" t="s">
        <v>574</v>
      </c>
      <c r="N53" s="8">
        <v>952.0</v>
      </c>
    </row>
    <row r="54" ht="15.75" customHeight="1">
      <c r="A54" s="8" t="s">
        <v>128</v>
      </c>
      <c r="B54" s="8" t="s">
        <v>269</v>
      </c>
      <c r="C54" s="8" t="s">
        <v>576</v>
      </c>
      <c r="D54" s="8" t="s">
        <v>284</v>
      </c>
      <c r="E54" s="8" t="s">
        <v>579</v>
      </c>
      <c r="F54" s="8"/>
      <c r="G54" s="8"/>
      <c r="H54" s="8">
        <v>42.0</v>
      </c>
      <c r="I54" s="8">
        <v>4.0</v>
      </c>
      <c r="J54" s="8">
        <v>5.0</v>
      </c>
      <c r="K54" s="8" t="s">
        <v>298</v>
      </c>
      <c r="L54" s="8" t="s">
        <v>299</v>
      </c>
      <c r="M54" s="8" t="s">
        <v>581</v>
      </c>
      <c r="N54" s="8">
        <v>977.0</v>
      </c>
    </row>
    <row r="55" ht="15.75" customHeight="1">
      <c r="A55" s="8" t="s">
        <v>128</v>
      </c>
      <c r="B55" s="8" t="s">
        <v>582</v>
      </c>
      <c r="C55" s="8" t="s">
        <v>584</v>
      </c>
      <c r="D55" s="8" t="s">
        <v>292</v>
      </c>
      <c r="E55" s="8" t="s">
        <v>305</v>
      </c>
      <c r="F55" s="8" t="s">
        <v>585</v>
      </c>
      <c r="G55" s="8" t="s">
        <v>586</v>
      </c>
      <c r="H55" s="8">
        <v>43.0</v>
      </c>
      <c r="I55" s="8">
        <v>0.0</v>
      </c>
      <c r="J55" s="8">
        <v>5.0</v>
      </c>
      <c r="K55" s="8" t="s">
        <v>308</v>
      </c>
      <c r="L55" s="8" t="s">
        <v>309</v>
      </c>
      <c r="M55" s="8"/>
      <c r="N55" s="8">
        <v>1005.0</v>
      </c>
    </row>
    <row r="56" ht="15.75" customHeight="1">
      <c r="A56" s="8" t="s">
        <v>128</v>
      </c>
      <c r="B56" s="8" t="s">
        <v>57</v>
      </c>
      <c r="C56" s="8" t="s">
        <v>589</v>
      </c>
      <c r="D56" s="8" t="s">
        <v>292</v>
      </c>
      <c r="E56" s="8" t="s">
        <v>305</v>
      </c>
      <c r="F56" s="8" t="s">
        <v>585</v>
      </c>
      <c r="G56" s="8" t="s">
        <v>586</v>
      </c>
      <c r="H56" s="8">
        <v>43.0</v>
      </c>
      <c r="I56" s="8">
        <v>0.0</v>
      </c>
      <c r="J56" s="8">
        <v>5.0</v>
      </c>
      <c r="K56" s="8" t="s">
        <v>308</v>
      </c>
      <c r="L56" s="8" t="s">
        <v>309</v>
      </c>
      <c r="M56" s="8"/>
      <c r="N56" s="8">
        <v>1017.0</v>
      </c>
    </row>
    <row r="57" ht="15.75" customHeight="1">
      <c r="A57" s="8" t="s">
        <v>128</v>
      </c>
      <c r="B57" s="8" t="s">
        <v>281</v>
      </c>
      <c r="C57" s="8" t="s">
        <v>593</v>
      </c>
      <c r="D57" s="8" t="s">
        <v>292</v>
      </c>
      <c r="E57" s="8" t="s">
        <v>305</v>
      </c>
      <c r="F57" s="8" t="s">
        <v>591</v>
      </c>
      <c r="G57" s="8" t="s">
        <v>592</v>
      </c>
      <c r="H57" s="8">
        <v>43.0</v>
      </c>
      <c r="I57" s="8">
        <v>9.0</v>
      </c>
      <c r="J57" s="8">
        <v>6.0</v>
      </c>
      <c r="K57" s="8" t="s">
        <v>308</v>
      </c>
      <c r="L57" s="8" t="s">
        <v>309</v>
      </c>
      <c r="M57" s="8" t="s">
        <v>601</v>
      </c>
      <c r="N57" s="8">
        <v>1033.0</v>
      </c>
    </row>
    <row r="58" ht="15.75" customHeight="1">
      <c r="A58" s="8" t="s">
        <v>128</v>
      </c>
      <c r="B58" s="8" t="s">
        <v>324</v>
      </c>
      <c r="C58" s="8" t="s">
        <v>605</v>
      </c>
      <c r="D58" s="8" t="s">
        <v>277</v>
      </c>
      <c r="E58" s="8" t="s">
        <v>606</v>
      </c>
      <c r="F58" s="8"/>
      <c r="G58" s="8"/>
      <c r="H58" s="8">
        <v>49.0</v>
      </c>
      <c r="I58" s="8">
        <v>41.0</v>
      </c>
      <c r="J58" s="8">
        <v>21.0</v>
      </c>
      <c r="K58" s="8" t="s">
        <v>328</v>
      </c>
      <c r="L58" s="8" t="s">
        <v>329</v>
      </c>
      <c r="M58" s="8" t="s">
        <v>610</v>
      </c>
      <c r="N58" s="8">
        <v>1145.0</v>
      </c>
    </row>
    <row r="59" ht="15.75" customHeight="1">
      <c r="A59" s="8" t="s">
        <v>128</v>
      </c>
      <c r="B59" s="8" t="s">
        <v>331</v>
      </c>
      <c r="C59" s="8" t="s">
        <v>612</v>
      </c>
      <c r="D59" s="8" t="s">
        <v>334</v>
      </c>
      <c r="E59" s="8" t="s">
        <v>613</v>
      </c>
      <c r="F59" s="8"/>
      <c r="G59" s="8"/>
      <c r="H59" s="8">
        <v>51.0</v>
      </c>
      <c r="I59" s="8">
        <v>41.0</v>
      </c>
      <c r="J59" s="8">
        <v>6.0</v>
      </c>
      <c r="K59" s="8" t="s">
        <v>328</v>
      </c>
      <c r="L59" s="8" t="s">
        <v>329</v>
      </c>
      <c r="M59" s="8" t="s">
        <v>615</v>
      </c>
      <c r="N59" s="8">
        <v>1196.0</v>
      </c>
    </row>
    <row r="60" ht="15.75" customHeight="1">
      <c r="A60" s="8" t="s">
        <v>128</v>
      </c>
      <c r="B60" s="8" t="s">
        <v>338</v>
      </c>
      <c r="C60" s="8" t="s">
        <v>617</v>
      </c>
      <c r="D60" s="8" t="s">
        <v>341</v>
      </c>
      <c r="E60" s="8" t="s">
        <v>618</v>
      </c>
      <c r="F60" s="8"/>
      <c r="G60" s="8"/>
      <c r="H60" s="8">
        <v>53.0</v>
      </c>
      <c r="I60" s="8">
        <v>16.0</v>
      </c>
      <c r="J60" s="8">
        <v>4.0</v>
      </c>
      <c r="K60" s="8" t="s">
        <v>328</v>
      </c>
      <c r="L60" s="8" t="s">
        <v>329</v>
      </c>
      <c r="M60" s="8"/>
      <c r="N60" s="8">
        <v>1250.0</v>
      </c>
    </row>
    <row r="61" ht="15.75" customHeight="1">
      <c r="A61" s="8" t="s">
        <v>158</v>
      </c>
      <c r="B61" s="8" t="s">
        <v>57</v>
      </c>
      <c r="C61" s="8" t="s">
        <v>60</v>
      </c>
      <c r="D61" s="8" t="s">
        <v>42</v>
      </c>
      <c r="E61" s="8" t="s">
        <v>44</v>
      </c>
      <c r="F61" s="8"/>
      <c r="G61" s="8"/>
      <c r="H61" s="8">
        <v>4.0</v>
      </c>
      <c r="I61" s="8">
        <v>0.0</v>
      </c>
      <c r="J61" s="8">
        <v>7.0</v>
      </c>
      <c r="K61" s="8" t="s">
        <v>72</v>
      </c>
      <c r="L61" s="8" t="s">
        <v>73</v>
      </c>
      <c r="M61" s="8"/>
      <c r="N61" s="8">
        <v>162.0</v>
      </c>
    </row>
    <row r="62" ht="15.75" customHeight="1">
      <c r="A62" s="8" t="s">
        <v>158</v>
      </c>
      <c r="B62" s="8" t="s">
        <v>57</v>
      </c>
      <c r="C62" s="8" t="s">
        <v>628</v>
      </c>
      <c r="D62" s="8" t="s">
        <v>42</v>
      </c>
      <c r="E62" s="8" t="s">
        <v>44</v>
      </c>
      <c r="F62" s="8"/>
      <c r="G62" s="8"/>
      <c r="H62" s="8">
        <v>4.0</v>
      </c>
      <c r="I62" s="8">
        <v>0.0</v>
      </c>
      <c r="J62" s="8">
        <v>7.0</v>
      </c>
      <c r="K62" s="8" t="s">
        <v>93</v>
      </c>
      <c r="L62" s="8" t="s">
        <v>94</v>
      </c>
      <c r="M62" s="8"/>
      <c r="N62" s="8">
        <v>168.0</v>
      </c>
    </row>
    <row r="63" ht="15.75" customHeight="1">
      <c r="A63" s="8" t="s">
        <v>158</v>
      </c>
      <c r="B63" s="8" t="s">
        <v>99</v>
      </c>
      <c r="C63" s="8" t="s">
        <v>359</v>
      </c>
      <c r="D63" s="8" t="s">
        <v>42</v>
      </c>
      <c r="E63" s="8" t="s">
        <v>44</v>
      </c>
      <c r="F63" s="8"/>
      <c r="G63" s="8" t="s">
        <v>634</v>
      </c>
      <c r="H63" s="8">
        <v>4.0</v>
      </c>
      <c r="I63" s="8">
        <v>5.0</v>
      </c>
      <c r="J63" s="8">
        <v>4.0</v>
      </c>
      <c r="K63" s="8" t="s">
        <v>72</v>
      </c>
      <c r="L63" s="8" t="s">
        <v>73</v>
      </c>
      <c r="M63" s="8" t="s">
        <v>637</v>
      </c>
      <c r="N63" s="8">
        <v>204.0</v>
      </c>
    </row>
    <row r="64" ht="15.75" customHeight="1">
      <c r="A64" s="8" t="s">
        <v>158</v>
      </c>
      <c r="B64" s="8" t="s">
        <v>120</v>
      </c>
      <c r="C64" s="8" t="s">
        <v>362</v>
      </c>
      <c r="D64" s="8" t="s">
        <v>83</v>
      </c>
      <c r="E64" s="8" t="s">
        <v>363</v>
      </c>
      <c r="F64" s="8"/>
      <c r="G64" s="8"/>
      <c r="H64" s="8">
        <v>8.0</v>
      </c>
      <c r="I64" s="8">
        <v>4.0</v>
      </c>
      <c r="J64" s="8">
        <v>4.0</v>
      </c>
      <c r="K64" s="8" t="s">
        <v>111</v>
      </c>
      <c r="L64" s="8" t="s">
        <v>113</v>
      </c>
      <c r="M64" s="8"/>
      <c r="N64" s="8">
        <v>245.0</v>
      </c>
    </row>
    <row r="65" ht="15.75" customHeight="1">
      <c r="A65" s="8" t="s">
        <v>158</v>
      </c>
      <c r="B65" s="8" t="s">
        <v>132</v>
      </c>
      <c r="C65" s="8" t="s">
        <v>367</v>
      </c>
      <c r="D65" s="8" t="s">
        <v>83</v>
      </c>
      <c r="E65" s="8" t="s">
        <v>363</v>
      </c>
      <c r="F65" s="8" t="s">
        <v>650</v>
      </c>
      <c r="G65" s="8" t="s">
        <v>369</v>
      </c>
      <c r="H65" s="8">
        <v>8.0</v>
      </c>
      <c r="I65" s="8">
        <v>5.0</v>
      </c>
      <c r="J65" s="8">
        <v>5.0</v>
      </c>
      <c r="K65" s="8" t="s">
        <v>111</v>
      </c>
      <c r="L65" s="8" t="s">
        <v>113</v>
      </c>
      <c r="M65" s="8"/>
      <c r="N65" s="8">
        <v>261.0</v>
      </c>
    </row>
    <row r="66" ht="15.75" customHeight="1">
      <c r="A66" s="8" t="s">
        <v>158</v>
      </c>
      <c r="B66" s="8" t="s">
        <v>57</v>
      </c>
      <c r="C66" s="8" t="s">
        <v>656</v>
      </c>
      <c r="D66" s="8" t="s">
        <v>83</v>
      </c>
      <c r="E66" s="8" t="s">
        <v>363</v>
      </c>
      <c r="F66" s="8" t="s">
        <v>375</v>
      </c>
      <c r="G66" s="8" t="s">
        <v>659</v>
      </c>
      <c r="H66" s="8">
        <v>8.0</v>
      </c>
      <c r="I66" s="8">
        <v>0.0</v>
      </c>
      <c r="J66" s="8">
        <v>2.0</v>
      </c>
      <c r="K66" s="8" t="s">
        <v>111</v>
      </c>
      <c r="L66" s="8" t="s">
        <v>113</v>
      </c>
      <c r="M66" s="8"/>
      <c r="N66" s="8">
        <v>285.0</v>
      </c>
    </row>
    <row r="67" ht="15.75" customHeight="1">
      <c r="A67" s="8" t="s">
        <v>158</v>
      </c>
      <c r="B67" s="8" t="s">
        <v>154</v>
      </c>
      <c r="C67" s="8" t="s">
        <v>156</v>
      </c>
      <c r="D67" s="8" t="s">
        <v>124</v>
      </c>
      <c r="E67" s="8" t="s">
        <v>130</v>
      </c>
      <c r="F67" s="8" t="s">
        <v>381</v>
      </c>
      <c r="G67" s="8" t="s">
        <v>625</v>
      </c>
      <c r="H67" s="8">
        <v>11.0</v>
      </c>
      <c r="I67" s="8">
        <v>5.0</v>
      </c>
      <c r="J67" s="8">
        <v>3.0</v>
      </c>
      <c r="K67" s="8" t="s">
        <v>164</v>
      </c>
      <c r="L67" s="8" t="s">
        <v>166</v>
      </c>
      <c r="M67" s="8" t="s">
        <v>665</v>
      </c>
      <c r="N67" s="8">
        <v>313.0</v>
      </c>
    </row>
    <row r="68" ht="15.75" customHeight="1">
      <c r="A68" s="8" t="s">
        <v>158</v>
      </c>
      <c r="B68" s="8" t="s">
        <v>141</v>
      </c>
      <c r="C68" s="8" t="s">
        <v>669</v>
      </c>
      <c r="D68" s="8" t="s">
        <v>124</v>
      </c>
      <c r="E68" s="8" t="s">
        <v>130</v>
      </c>
      <c r="F68" s="8" t="s">
        <v>392</v>
      </c>
      <c r="G68" s="8" t="s">
        <v>627</v>
      </c>
      <c r="H68" s="8">
        <v>11.0</v>
      </c>
      <c r="I68" s="8">
        <v>12.0</v>
      </c>
      <c r="J68" s="8">
        <v>12.0</v>
      </c>
      <c r="K68" s="8" t="s">
        <v>164</v>
      </c>
      <c r="L68" s="8" t="s">
        <v>166</v>
      </c>
      <c r="M68" s="8" t="s">
        <v>674</v>
      </c>
      <c r="N68" s="8">
        <v>336.0</v>
      </c>
    </row>
    <row r="69" ht="15.75" customHeight="1">
      <c r="A69" s="8" t="s">
        <v>158</v>
      </c>
      <c r="B69" s="8" t="s">
        <v>168</v>
      </c>
      <c r="C69" s="8" t="s">
        <v>676</v>
      </c>
      <c r="D69" s="8" t="s">
        <v>124</v>
      </c>
      <c r="E69" s="8" t="s">
        <v>130</v>
      </c>
      <c r="F69" s="8" t="s">
        <v>410</v>
      </c>
      <c r="G69" s="8" t="s">
        <v>393</v>
      </c>
      <c r="H69" s="8">
        <v>11.0</v>
      </c>
      <c r="I69" s="8">
        <v>7.0</v>
      </c>
      <c r="J69" s="8">
        <v>12.0</v>
      </c>
      <c r="K69" s="8" t="s">
        <v>164</v>
      </c>
      <c r="L69" s="8" t="s">
        <v>166</v>
      </c>
      <c r="M69" s="8"/>
      <c r="N69" s="8">
        <v>366.0</v>
      </c>
    </row>
    <row r="70" ht="15.75" customHeight="1">
      <c r="A70" s="8" t="s">
        <v>158</v>
      </c>
      <c r="B70" s="8" t="s">
        <v>176</v>
      </c>
      <c r="C70" s="8" t="s">
        <v>681</v>
      </c>
      <c r="D70" s="8" t="s">
        <v>124</v>
      </c>
      <c r="E70" s="8" t="s">
        <v>130</v>
      </c>
      <c r="F70" s="8" t="s">
        <v>402</v>
      </c>
      <c r="G70" s="8" t="s">
        <v>632</v>
      </c>
      <c r="H70" s="8">
        <v>11.0</v>
      </c>
      <c r="I70" s="8">
        <v>12.0</v>
      </c>
      <c r="J70" s="8">
        <v>12.0</v>
      </c>
      <c r="K70" s="8" t="s">
        <v>164</v>
      </c>
      <c r="L70" s="8" t="s">
        <v>166</v>
      </c>
      <c r="M70" s="8" t="s">
        <v>686</v>
      </c>
      <c r="N70" s="8">
        <v>391.0</v>
      </c>
    </row>
    <row r="71" ht="15.75" customHeight="1">
      <c r="A71" s="8" t="s">
        <v>158</v>
      </c>
      <c r="B71" s="8" t="s">
        <v>57</v>
      </c>
      <c r="C71" s="8" t="s">
        <v>688</v>
      </c>
      <c r="D71" s="8" t="s">
        <v>129</v>
      </c>
      <c r="E71" s="8" t="s">
        <v>155</v>
      </c>
      <c r="F71" s="8" t="s">
        <v>441</v>
      </c>
      <c r="G71" s="8" t="s">
        <v>640</v>
      </c>
      <c r="H71" s="8">
        <v>16.0</v>
      </c>
      <c r="I71" s="8">
        <v>0.0</v>
      </c>
      <c r="J71" s="8">
        <v>7.0</v>
      </c>
      <c r="K71" s="8" t="s">
        <v>93</v>
      </c>
      <c r="L71" s="8" t="s">
        <v>94</v>
      </c>
      <c r="M71" s="8"/>
      <c r="N71" s="8">
        <v>433.0</v>
      </c>
    </row>
    <row r="72" ht="15.75" customHeight="1">
      <c r="A72" s="8" t="s">
        <v>158</v>
      </c>
      <c r="B72" s="8" t="s">
        <v>194</v>
      </c>
      <c r="C72" s="8" t="s">
        <v>695</v>
      </c>
      <c r="D72" s="8" t="s">
        <v>129</v>
      </c>
      <c r="E72" s="8" t="s">
        <v>155</v>
      </c>
      <c r="F72" s="8" t="s">
        <v>441</v>
      </c>
      <c r="G72" s="8" t="s">
        <v>640</v>
      </c>
      <c r="H72" s="8">
        <v>16.0</v>
      </c>
      <c r="I72" s="8">
        <v>11.0</v>
      </c>
      <c r="J72" s="8">
        <v>12.0</v>
      </c>
      <c r="K72" s="8" t="s">
        <v>93</v>
      </c>
      <c r="L72" s="8" t="s">
        <v>94</v>
      </c>
      <c r="M72" s="8" t="s">
        <v>700</v>
      </c>
      <c r="N72" s="8">
        <v>447.0</v>
      </c>
    </row>
    <row r="73" ht="15.75" customHeight="1">
      <c r="A73" s="8" t="s">
        <v>158</v>
      </c>
      <c r="B73" s="8" t="s">
        <v>186</v>
      </c>
      <c r="C73" s="8" t="s">
        <v>468</v>
      </c>
      <c r="D73" s="8" t="s">
        <v>129</v>
      </c>
      <c r="E73" s="8" t="s">
        <v>155</v>
      </c>
      <c r="F73" s="8" t="s">
        <v>441</v>
      </c>
      <c r="G73" s="8" t="s">
        <v>640</v>
      </c>
      <c r="H73" s="8">
        <v>16.0</v>
      </c>
      <c r="I73" s="8">
        <v>14.0</v>
      </c>
      <c r="J73" s="8">
        <v>10.0</v>
      </c>
      <c r="K73" s="8" t="s">
        <v>93</v>
      </c>
      <c r="L73" s="8" t="s">
        <v>94</v>
      </c>
      <c r="M73" s="8" t="s">
        <v>705</v>
      </c>
      <c r="N73" s="8">
        <v>466.0</v>
      </c>
    </row>
    <row r="74" ht="15.75" customHeight="1">
      <c r="A74" s="8" t="s">
        <v>158</v>
      </c>
      <c r="B74" s="8" t="s">
        <v>240</v>
      </c>
      <c r="C74" s="8" t="s">
        <v>706</v>
      </c>
      <c r="D74" s="8" t="s">
        <v>129</v>
      </c>
      <c r="E74" s="8" t="s">
        <v>155</v>
      </c>
      <c r="F74" s="8" t="s">
        <v>446</v>
      </c>
      <c r="G74" s="8" t="s">
        <v>643</v>
      </c>
      <c r="H74" s="8">
        <v>16.0</v>
      </c>
      <c r="I74" s="8">
        <v>12.0</v>
      </c>
      <c r="J74" s="8">
        <v>12.0</v>
      </c>
      <c r="K74" s="8" t="s">
        <v>93</v>
      </c>
      <c r="L74" s="8" t="s">
        <v>94</v>
      </c>
      <c r="M74" s="8" t="s">
        <v>710</v>
      </c>
      <c r="N74" s="8">
        <v>498.0</v>
      </c>
    </row>
    <row r="75" ht="15.75" customHeight="1">
      <c r="A75" s="8" t="s">
        <v>158</v>
      </c>
      <c r="B75" s="8" t="s">
        <v>260</v>
      </c>
      <c r="C75" s="8" t="s">
        <v>712</v>
      </c>
      <c r="D75" s="8" t="s">
        <v>129</v>
      </c>
      <c r="E75" s="8" t="s">
        <v>155</v>
      </c>
      <c r="F75" s="8" t="s">
        <v>451</v>
      </c>
      <c r="G75" s="8" t="s">
        <v>652</v>
      </c>
      <c r="H75" s="8">
        <v>16.0</v>
      </c>
      <c r="I75" s="8">
        <v>4.0</v>
      </c>
      <c r="J75" s="8">
        <v>12.0</v>
      </c>
      <c r="K75" s="8" t="s">
        <v>93</v>
      </c>
      <c r="L75" s="8" t="s">
        <v>94</v>
      </c>
      <c r="M75" s="8" t="s">
        <v>726</v>
      </c>
      <c r="N75" s="8">
        <v>550.0</v>
      </c>
    </row>
    <row r="76" ht="15.75" customHeight="1">
      <c r="A76" s="8" t="s">
        <v>158</v>
      </c>
      <c r="B76" s="8" t="s">
        <v>204</v>
      </c>
      <c r="C76" s="8" t="s">
        <v>732</v>
      </c>
      <c r="D76" s="8" t="s">
        <v>654</v>
      </c>
      <c r="E76" s="8" t="s">
        <v>734</v>
      </c>
      <c r="F76" s="8"/>
      <c r="G76" s="8"/>
      <c r="H76" s="8">
        <v>21.0</v>
      </c>
      <c r="I76" s="8">
        <v>9.0</v>
      </c>
      <c r="J76" s="8">
        <v>4.0</v>
      </c>
      <c r="K76" s="8" t="s">
        <v>111</v>
      </c>
      <c r="L76" s="8" t="s">
        <v>113</v>
      </c>
      <c r="M76" s="8" t="s">
        <v>739</v>
      </c>
      <c r="N76" s="8">
        <v>576.0</v>
      </c>
    </row>
    <row r="77" ht="15.75" customHeight="1">
      <c r="A77" s="8" t="s">
        <v>158</v>
      </c>
      <c r="B77" s="8" t="s">
        <v>290</v>
      </c>
      <c r="C77" s="8" t="s">
        <v>741</v>
      </c>
      <c r="D77" s="8" t="s">
        <v>654</v>
      </c>
      <c r="E77" s="8" t="s">
        <v>734</v>
      </c>
      <c r="F77" s="8"/>
      <c r="G77" s="8"/>
      <c r="H77" s="8">
        <v>21.0</v>
      </c>
      <c r="I77" s="8">
        <v>7.0</v>
      </c>
      <c r="J77" s="8">
        <v>12.0</v>
      </c>
      <c r="K77" s="8" t="s">
        <v>111</v>
      </c>
      <c r="L77" s="8" t="s">
        <v>113</v>
      </c>
      <c r="M77" s="8"/>
      <c r="N77" s="8">
        <v>595.0</v>
      </c>
    </row>
    <row r="78" ht="15.75" customHeight="1">
      <c r="A78" s="8" t="s">
        <v>158</v>
      </c>
      <c r="B78" s="8" t="s">
        <v>221</v>
      </c>
      <c r="C78" s="8" t="s">
        <v>205</v>
      </c>
      <c r="D78" s="8" t="s">
        <v>153</v>
      </c>
      <c r="E78" s="8" t="s">
        <v>182</v>
      </c>
      <c r="F78" s="8" t="s">
        <v>492</v>
      </c>
      <c r="G78" s="8" t="s">
        <v>493</v>
      </c>
      <c r="H78" s="8">
        <v>22.0</v>
      </c>
      <c r="I78" s="8">
        <v>13.0</v>
      </c>
      <c r="J78" s="8">
        <v>9.0</v>
      </c>
      <c r="K78" s="8" t="s">
        <v>214</v>
      </c>
      <c r="L78" s="8" t="s">
        <v>217</v>
      </c>
      <c r="M78" s="8" t="s">
        <v>750</v>
      </c>
      <c r="N78" s="8">
        <v>640.0</v>
      </c>
    </row>
    <row r="79" ht="15.75" customHeight="1">
      <c r="A79" s="8" t="s">
        <v>158</v>
      </c>
      <c r="B79" s="8" t="s">
        <v>301</v>
      </c>
      <c r="C79" s="8" t="s">
        <v>752</v>
      </c>
      <c r="D79" s="8" t="s">
        <v>153</v>
      </c>
      <c r="E79" s="8" t="s">
        <v>182</v>
      </c>
      <c r="F79" s="8" t="s">
        <v>500</v>
      </c>
      <c r="G79" s="8" t="s">
        <v>663</v>
      </c>
      <c r="H79" s="8">
        <v>22.0</v>
      </c>
      <c r="I79" s="8">
        <v>1.0</v>
      </c>
      <c r="J79" s="8">
        <v>7.0</v>
      </c>
      <c r="K79" s="8" t="s">
        <v>214</v>
      </c>
      <c r="L79" s="8" t="s">
        <v>217</v>
      </c>
      <c r="M79" s="8"/>
      <c r="N79" s="8">
        <v>673.0</v>
      </c>
    </row>
    <row r="80" ht="15.75" customHeight="1">
      <c r="A80" s="8" t="s">
        <v>158</v>
      </c>
      <c r="B80" s="8" t="s">
        <v>226</v>
      </c>
      <c r="C80" s="8" t="s">
        <v>758</v>
      </c>
      <c r="D80" s="8" t="s">
        <v>181</v>
      </c>
      <c r="E80" s="8" t="s">
        <v>211</v>
      </c>
      <c r="F80" s="8" t="s">
        <v>509</v>
      </c>
      <c r="G80" s="8" t="s">
        <v>673</v>
      </c>
      <c r="H80" s="8">
        <v>25.0</v>
      </c>
      <c r="I80" s="8">
        <v>14.0</v>
      </c>
      <c r="J80" s="8">
        <v>6.0</v>
      </c>
      <c r="K80" s="8" t="s">
        <v>237</v>
      </c>
      <c r="L80" s="8" t="s">
        <v>238</v>
      </c>
      <c r="M80" s="8" t="s">
        <v>765</v>
      </c>
      <c r="N80" s="8">
        <v>715.0</v>
      </c>
    </row>
    <row r="81" ht="15.75" customHeight="1">
      <c r="A81" s="8" t="s">
        <v>158</v>
      </c>
      <c r="B81" s="8" t="s">
        <v>546</v>
      </c>
      <c r="C81" s="8" t="s">
        <v>766</v>
      </c>
      <c r="D81" s="8" t="s">
        <v>181</v>
      </c>
      <c r="E81" s="8" t="s">
        <v>211</v>
      </c>
      <c r="F81" s="8" t="s">
        <v>534</v>
      </c>
      <c r="G81" s="8" t="s">
        <v>677</v>
      </c>
      <c r="H81" s="8">
        <v>25.0</v>
      </c>
      <c r="I81" s="8">
        <v>6.0</v>
      </c>
      <c r="J81" s="8">
        <v>12.0</v>
      </c>
      <c r="K81" s="8" t="s">
        <v>237</v>
      </c>
      <c r="L81" s="8" t="s">
        <v>238</v>
      </c>
      <c r="M81" s="8" t="s">
        <v>782</v>
      </c>
      <c r="N81" s="8">
        <v>745.0</v>
      </c>
    </row>
    <row r="82" ht="15.75" customHeight="1">
      <c r="A82" s="8" t="s">
        <v>158</v>
      </c>
      <c r="B82" s="8" t="s">
        <v>249</v>
      </c>
      <c r="C82" s="8" t="s">
        <v>529</v>
      </c>
      <c r="D82" s="8" t="s">
        <v>210</v>
      </c>
      <c r="E82" s="8" t="s">
        <v>243</v>
      </c>
      <c r="F82" s="8" t="s">
        <v>532</v>
      </c>
      <c r="G82" s="8" t="s">
        <v>689</v>
      </c>
      <c r="H82" s="8">
        <v>28.0</v>
      </c>
      <c r="I82" s="8">
        <v>9.0</v>
      </c>
      <c r="J82" s="8">
        <v>3.0</v>
      </c>
      <c r="K82" s="8" t="s">
        <v>256</v>
      </c>
      <c r="L82" s="8" t="s">
        <v>257</v>
      </c>
      <c r="M82" s="8" t="s">
        <v>787</v>
      </c>
      <c r="N82" s="8">
        <v>801.0</v>
      </c>
    </row>
    <row r="83" ht="15.75" customHeight="1">
      <c r="A83" s="8" t="s">
        <v>158</v>
      </c>
      <c r="B83" s="8" t="s">
        <v>57</v>
      </c>
      <c r="C83" s="8" t="s">
        <v>789</v>
      </c>
      <c r="D83" s="8" t="s">
        <v>210</v>
      </c>
      <c r="E83" s="8" t="s">
        <v>243</v>
      </c>
      <c r="F83" s="8" t="s">
        <v>541</v>
      </c>
      <c r="G83" s="8" t="s">
        <v>259</v>
      </c>
      <c r="H83" s="8">
        <v>28.0</v>
      </c>
      <c r="I83" s="8">
        <v>0.0</v>
      </c>
      <c r="J83" s="8">
        <v>7.0</v>
      </c>
      <c r="K83" s="8" t="s">
        <v>256</v>
      </c>
      <c r="L83" s="8" t="s">
        <v>257</v>
      </c>
      <c r="M83" s="8"/>
      <c r="N83" s="8">
        <v>820.0</v>
      </c>
    </row>
    <row r="84" ht="15.75" customHeight="1">
      <c r="A84" s="8" t="s">
        <v>158</v>
      </c>
      <c r="B84" s="8" t="s">
        <v>564</v>
      </c>
      <c r="C84" s="8" t="s">
        <v>261</v>
      </c>
      <c r="D84" s="8" t="s">
        <v>241</v>
      </c>
      <c r="E84" s="8" t="s">
        <v>264</v>
      </c>
      <c r="F84" s="8"/>
      <c r="G84" s="8"/>
      <c r="H84" s="8">
        <v>30.0</v>
      </c>
      <c r="I84" s="8">
        <v>5.0</v>
      </c>
      <c r="J84" s="8">
        <v>4.0</v>
      </c>
      <c r="K84" s="8" t="s">
        <v>265</v>
      </c>
      <c r="L84" s="8" t="s">
        <v>266</v>
      </c>
      <c r="M84" s="8" t="s">
        <v>795</v>
      </c>
      <c r="N84" s="8">
        <v>848.0</v>
      </c>
    </row>
    <row r="85" ht="15.75" customHeight="1">
      <c r="A85" s="8" t="s">
        <v>158</v>
      </c>
      <c r="B85" s="8" t="s">
        <v>269</v>
      </c>
      <c r="C85" s="8" t="s">
        <v>556</v>
      </c>
      <c r="D85" s="8" t="s">
        <v>263</v>
      </c>
      <c r="E85" s="8" t="s">
        <v>285</v>
      </c>
      <c r="F85" s="8"/>
      <c r="G85" s="8"/>
      <c r="H85" s="8">
        <v>32.0</v>
      </c>
      <c r="I85" s="8">
        <v>9.0</v>
      </c>
      <c r="J85" s="8">
        <v>4.0</v>
      </c>
      <c r="K85" s="8" t="s">
        <v>287</v>
      </c>
      <c r="L85" s="8" t="s">
        <v>289</v>
      </c>
      <c r="M85" s="8" t="s">
        <v>799</v>
      </c>
      <c r="N85" s="8">
        <v>877.0</v>
      </c>
    </row>
    <row r="86" ht="15.75" customHeight="1">
      <c r="A86" s="8" t="s">
        <v>158</v>
      </c>
      <c r="B86" s="8" t="s">
        <v>582</v>
      </c>
      <c r="C86" s="8" t="s">
        <v>565</v>
      </c>
      <c r="D86" s="8" t="s">
        <v>272</v>
      </c>
      <c r="E86" s="8" t="s">
        <v>567</v>
      </c>
      <c r="F86" s="8"/>
      <c r="G86" s="8"/>
      <c r="H86" s="8">
        <v>34.0</v>
      </c>
      <c r="I86" s="8">
        <v>7.0</v>
      </c>
      <c r="J86" s="8">
        <v>4.0</v>
      </c>
      <c r="K86" s="8" t="s">
        <v>298</v>
      </c>
      <c r="L86" s="8" t="s">
        <v>299</v>
      </c>
      <c r="M86" s="8" t="s">
        <v>803</v>
      </c>
      <c r="N86" s="8">
        <v>908.0</v>
      </c>
    </row>
    <row r="87" ht="15.75" customHeight="1">
      <c r="A87" s="8" t="s">
        <v>158</v>
      </c>
      <c r="B87" s="8" t="s">
        <v>281</v>
      </c>
      <c r="C87" s="8" t="s">
        <v>805</v>
      </c>
      <c r="D87" s="8" t="s">
        <v>284</v>
      </c>
      <c r="E87" s="8" t="s">
        <v>702</v>
      </c>
      <c r="F87" s="8"/>
      <c r="G87" s="8"/>
      <c r="H87" s="8">
        <v>35.0</v>
      </c>
      <c r="I87" s="8">
        <v>7.0</v>
      </c>
      <c r="J87" s="8">
        <v>5.0</v>
      </c>
      <c r="K87" s="8" t="s">
        <v>298</v>
      </c>
      <c r="L87" s="8" t="s">
        <v>299</v>
      </c>
      <c r="M87" s="8" t="s">
        <v>807</v>
      </c>
      <c r="N87" s="8">
        <v>935.0</v>
      </c>
    </row>
    <row r="88" ht="15.75" customHeight="1">
      <c r="A88" s="8" t="s">
        <v>158</v>
      </c>
      <c r="B88" s="8" t="s">
        <v>809</v>
      </c>
      <c r="C88" s="8" t="s">
        <v>584</v>
      </c>
      <c r="D88" s="8" t="s">
        <v>292</v>
      </c>
      <c r="E88" s="8" t="s">
        <v>305</v>
      </c>
      <c r="F88" s="8" t="s">
        <v>585</v>
      </c>
      <c r="G88" s="8" t="s">
        <v>586</v>
      </c>
      <c r="H88" s="8">
        <v>36.0</v>
      </c>
      <c r="I88" s="8">
        <v>2.0</v>
      </c>
      <c r="J88" s="8">
        <v>5.0</v>
      </c>
      <c r="K88" s="8" t="s">
        <v>308</v>
      </c>
      <c r="L88" s="8" t="s">
        <v>309</v>
      </c>
      <c r="M88" s="8"/>
      <c r="N88" s="8">
        <v>964.0</v>
      </c>
    </row>
    <row r="89" ht="15.75" customHeight="1">
      <c r="A89" s="8" t="s">
        <v>158</v>
      </c>
      <c r="B89" s="8" t="s">
        <v>311</v>
      </c>
      <c r="C89" s="8" t="s">
        <v>593</v>
      </c>
      <c r="D89" s="8" t="s">
        <v>292</v>
      </c>
      <c r="E89" s="8" t="s">
        <v>305</v>
      </c>
      <c r="F89" s="8" t="s">
        <v>591</v>
      </c>
      <c r="G89" s="8" t="s">
        <v>592</v>
      </c>
      <c r="H89" s="8">
        <v>36.0</v>
      </c>
      <c r="I89" s="8">
        <v>9.0</v>
      </c>
      <c r="J89" s="8">
        <v>6.0</v>
      </c>
      <c r="K89" s="8" t="s">
        <v>308</v>
      </c>
      <c r="L89" s="8" t="s">
        <v>309</v>
      </c>
      <c r="M89" s="8" t="s">
        <v>816</v>
      </c>
      <c r="N89" s="8">
        <v>988.0</v>
      </c>
    </row>
    <row r="90" ht="15.75" customHeight="1">
      <c r="A90" s="8" t="s">
        <v>158</v>
      </c>
      <c r="B90" s="8" t="s">
        <v>316</v>
      </c>
      <c r="C90" s="8" t="s">
        <v>819</v>
      </c>
      <c r="D90" s="8" t="s">
        <v>303</v>
      </c>
      <c r="E90" s="8" t="s">
        <v>319</v>
      </c>
      <c r="F90" s="8"/>
      <c r="G90" s="8"/>
      <c r="H90" s="8">
        <v>38.0</v>
      </c>
      <c r="I90" s="8">
        <v>20.0</v>
      </c>
      <c r="J90" s="8">
        <v>5.0</v>
      </c>
      <c r="K90" s="8" t="s">
        <v>321</v>
      </c>
      <c r="L90" s="8" t="s">
        <v>322</v>
      </c>
      <c r="M90" s="8" t="s">
        <v>821</v>
      </c>
      <c r="N90" s="8">
        <v>1019.0</v>
      </c>
    </row>
    <row r="91" ht="15.75" customHeight="1">
      <c r="A91" s="8" t="s">
        <v>158</v>
      </c>
      <c r="B91" s="8" t="s">
        <v>324</v>
      </c>
      <c r="C91" s="8" t="s">
        <v>824</v>
      </c>
      <c r="D91" s="8" t="s">
        <v>277</v>
      </c>
      <c r="E91" s="8" t="s">
        <v>826</v>
      </c>
      <c r="F91" s="8"/>
      <c r="G91" s="8"/>
      <c r="H91" s="8">
        <v>41.0</v>
      </c>
      <c r="I91" s="8">
        <v>14.0</v>
      </c>
      <c r="J91" s="8">
        <v>21.0</v>
      </c>
      <c r="K91" s="8" t="s">
        <v>328</v>
      </c>
      <c r="L91" s="8" t="s">
        <v>329</v>
      </c>
      <c r="M91" s="8" t="s">
        <v>830</v>
      </c>
      <c r="N91" s="8">
        <v>1087.0</v>
      </c>
    </row>
    <row r="92" ht="15.75" customHeight="1">
      <c r="A92" s="8" t="s">
        <v>158</v>
      </c>
      <c r="B92" s="8" t="s">
        <v>331</v>
      </c>
      <c r="C92" s="8" t="s">
        <v>832</v>
      </c>
      <c r="D92" s="8" t="s">
        <v>334</v>
      </c>
      <c r="E92" s="8" t="s">
        <v>833</v>
      </c>
      <c r="F92" s="8"/>
      <c r="G92" s="8"/>
      <c r="H92" s="8">
        <v>42.0</v>
      </c>
      <c r="I92" s="8">
        <v>13.0</v>
      </c>
      <c r="J92" s="8">
        <v>8.0</v>
      </c>
      <c r="K92" s="8" t="s">
        <v>328</v>
      </c>
      <c r="L92" s="8" t="s">
        <v>329</v>
      </c>
      <c r="M92" s="8" t="s">
        <v>835</v>
      </c>
      <c r="N92" s="8">
        <v>1115.0</v>
      </c>
    </row>
    <row r="93" ht="15.75" customHeight="1">
      <c r="A93" s="8" t="s">
        <v>158</v>
      </c>
      <c r="B93" s="8" t="s">
        <v>338</v>
      </c>
      <c r="C93" s="8" t="s">
        <v>837</v>
      </c>
      <c r="D93" s="8" t="s">
        <v>341</v>
      </c>
      <c r="E93" s="8" t="s">
        <v>618</v>
      </c>
      <c r="F93" s="8"/>
      <c r="G93" s="8"/>
      <c r="H93" s="8">
        <v>43.0</v>
      </c>
      <c r="I93" s="8">
        <v>16.0</v>
      </c>
      <c r="J93" s="8">
        <v>4.0</v>
      </c>
      <c r="K93" s="8" t="s">
        <v>328</v>
      </c>
      <c r="L93" s="8" t="s">
        <v>329</v>
      </c>
      <c r="M93" s="8"/>
      <c r="N93" s="8">
        <v>1142.0</v>
      </c>
    </row>
    <row r="94" ht="15.75" customHeight="1">
      <c r="A94" s="8" t="s">
        <v>184</v>
      </c>
      <c r="B94" s="8" t="s">
        <v>57</v>
      </c>
      <c r="C94" s="8" t="s">
        <v>60</v>
      </c>
      <c r="D94" s="8" t="s">
        <v>42</v>
      </c>
      <c r="E94" s="8" t="s">
        <v>44</v>
      </c>
      <c r="F94" s="8"/>
      <c r="G94" s="8"/>
      <c r="H94" s="8">
        <v>4.0</v>
      </c>
      <c r="I94" s="8">
        <v>0.0</v>
      </c>
      <c r="J94" s="8">
        <v>4.0</v>
      </c>
      <c r="K94" s="8" t="s">
        <v>72</v>
      </c>
      <c r="L94" s="8" t="s">
        <v>73</v>
      </c>
      <c r="M94" s="8"/>
      <c r="N94" s="8">
        <v>184.0</v>
      </c>
    </row>
    <row r="95" ht="15.75" customHeight="1">
      <c r="A95" s="8" t="s">
        <v>184</v>
      </c>
      <c r="B95" s="8" t="s">
        <v>57</v>
      </c>
      <c r="C95" s="8" t="s">
        <v>844</v>
      </c>
      <c r="D95" s="8" t="s">
        <v>42</v>
      </c>
      <c r="E95" s="8" t="s">
        <v>44</v>
      </c>
      <c r="F95" s="8"/>
      <c r="G95" s="8"/>
      <c r="H95" s="8">
        <v>4.0</v>
      </c>
      <c r="I95" s="8">
        <v>0.0</v>
      </c>
      <c r="J95" s="8">
        <v>4.0</v>
      </c>
      <c r="K95" s="8" t="s">
        <v>93</v>
      </c>
      <c r="L95" s="8" t="s">
        <v>94</v>
      </c>
      <c r="M95" s="8"/>
      <c r="N95" s="8">
        <v>190.0</v>
      </c>
    </row>
    <row r="96" ht="15.75" customHeight="1">
      <c r="A96" s="8" t="s">
        <v>184</v>
      </c>
      <c r="B96" s="8" t="s">
        <v>99</v>
      </c>
      <c r="C96" s="8" t="s">
        <v>847</v>
      </c>
      <c r="D96" s="8" t="s">
        <v>42</v>
      </c>
      <c r="E96" s="8" t="s">
        <v>44</v>
      </c>
      <c r="F96" s="8"/>
      <c r="G96" s="8" t="s">
        <v>365</v>
      </c>
      <c r="H96" s="8">
        <v>4.0</v>
      </c>
      <c r="I96" s="8">
        <v>5.0</v>
      </c>
      <c r="J96" s="8">
        <v>4.0</v>
      </c>
      <c r="K96" s="8" t="s">
        <v>72</v>
      </c>
      <c r="L96" s="8" t="s">
        <v>73</v>
      </c>
      <c r="M96" s="8" t="s">
        <v>849</v>
      </c>
      <c r="N96" s="8">
        <v>242.0</v>
      </c>
    </row>
    <row r="97" ht="15.75" customHeight="1">
      <c r="A97" s="8" t="s">
        <v>184</v>
      </c>
      <c r="B97" s="8" t="s">
        <v>120</v>
      </c>
      <c r="C97" s="8" t="s">
        <v>851</v>
      </c>
      <c r="D97" s="8" t="s">
        <v>83</v>
      </c>
      <c r="E97" s="8" t="s">
        <v>363</v>
      </c>
      <c r="F97" s="8" t="s">
        <v>650</v>
      </c>
      <c r="G97" s="8" t="s">
        <v>592</v>
      </c>
      <c r="H97" s="8">
        <v>8.0</v>
      </c>
      <c r="I97" s="8">
        <v>3.0</v>
      </c>
      <c r="J97" s="8">
        <v>5.0</v>
      </c>
      <c r="K97" s="8" t="s">
        <v>111</v>
      </c>
      <c r="L97" s="8" t="s">
        <v>113</v>
      </c>
      <c r="M97" s="8" t="s">
        <v>855</v>
      </c>
      <c r="N97" s="8">
        <v>265.0</v>
      </c>
    </row>
    <row r="98" ht="15.75" customHeight="1">
      <c r="A98" s="8" t="s">
        <v>184</v>
      </c>
      <c r="B98" s="8" t="s">
        <v>132</v>
      </c>
      <c r="C98" s="8" t="s">
        <v>367</v>
      </c>
      <c r="D98" s="8" t="s">
        <v>83</v>
      </c>
      <c r="E98" s="8" t="s">
        <v>363</v>
      </c>
      <c r="F98" s="8" t="s">
        <v>375</v>
      </c>
      <c r="G98" s="8" t="s">
        <v>369</v>
      </c>
      <c r="H98" s="8">
        <v>9.0</v>
      </c>
      <c r="I98" s="8">
        <v>5.0</v>
      </c>
      <c r="J98" s="8">
        <v>5.0</v>
      </c>
      <c r="K98" s="8" t="s">
        <v>111</v>
      </c>
      <c r="L98" s="8" t="s">
        <v>113</v>
      </c>
      <c r="M98" s="8"/>
      <c r="N98" s="8">
        <v>292.0</v>
      </c>
    </row>
    <row r="99" ht="15.75" customHeight="1">
      <c r="A99" s="8" t="s">
        <v>184</v>
      </c>
      <c r="B99" s="8" t="s">
        <v>154</v>
      </c>
      <c r="C99" s="8" t="s">
        <v>859</v>
      </c>
      <c r="D99" s="8" t="s">
        <v>83</v>
      </c>
      <c r="E99" s="8" t="s">
        <v>363</v>
      </c>
      <c r="F99" s="8" t="s">
        <v>774</v>
      </c>
      <c r="G99" s="8" t="s">
        <v>775</v>
      </c>
      <c r="H99" s="8">
        <v>10.0</v>
      </c>
      <c r="I99" s="8">
        <v>6.0</v>
      </c>
      <c r="J99" s="8">
        <v>3.0</v>
      </c>
      <c r="K99" s="8" t="s">
        <v>265</v>
      </c>
      <c r="L99" s="8" t="s">
        <v>266</v>
      </c>
      <c r="M99" s="8"/>
      <c r="N99" s="8">
        <v>321.0</v>
      </c>
    </row>
    <row r="100" ht="15.75" customHeight="1">
      <c r="A100" s="8" t="s">
        <v>184</v>
      </c>
      <c r="B100" s="8" t="s">
        <v>57</v>
      </c>
      <c r="C100" s="8" t="s">
        <v>868</v>
      </c>
      <c r="D100" s="8" t="s">
        <v>83</v>
      </c>
      <c r="E100" s="8" t="s">
        <v>363</v>
      </c>
      <c r="F100" s="8" t="s">
        <v>777</v>
      </c>
      <c r="G100" s="8" t="s">
        <v>778</v>
      </c>
      <c r="H100" s="8">
        <v>11.0</v>
      </c>
      <c r="I100" s="8">
        <v>0.0</v>
      </c>
      <c r="J100" s="8">
        <v>2.0</v>
      </c>
      <c r="K100" s="8" t="s">
        <v>111</v>
      </c>
      <c r="L100" s="8" t="s">
        <v>113</v>
      </c>
      <c r="M100" s="8"/>
      <c r="N100" s="8">
        <v>348.0</v>
      </c>
    </row>
    <row r="101" ht="15.75" customHeight="1">
      <c r="A101" s="8" t="s">
        <v>184</v>
      </c>
      <c r="B101" s="8" t="s">
        <v>186</v>
      </c>
      <c r="C101" s="8" t="s">
        <v>872</v>
      </c>
      <c r="D101" s="8" t="s">
        <v>124</v>
      </c>
      <c r="E101" s="8" t="s">
        <v>130</v>
      </c>
      <c r="F101" s="8" t="s">
        <v>381</v>
      </c>
      <c r="G101" s="8" t="s">
        <v>781</v>
      </c>
      <c r="H101" s="8">
        <v>12.0</v>
      </c>
      <c r="I101" s="8">
        <v>5.0</v>
      </c>
      <c r="J101" s="8">
        <v>4.0</v>
      </c>
      <c r="K101" s="8" t="s">
        <v>164</v>
      </c>
      <c r="L101" s="8" t="s">
        <v>166</v>
      </c>
      <c r="M101" s="8" t="s">
        <v>875</v>
      </c>
      <c r="N101" s="8">
        <v>366.0</v>
      </c>
    </row>
    <row r="102" ht="15.75" customHeight="1">
      <c r="A102" s="8" t="s">
        <v>184</v>
      </c>
      <c r="B102" s="8" t="s">
        <v>141</v>
      </c>
      <c r="C102" s="8" t="s">
        <v>390</v>
      </c>
      <c r="D102" s="8" t="s">
        <v>124</v>
      </c>
      <c r="E102" s="8" t="s">
        <v>130</v>
      </c>
      <c r="F102" s="8" t="s">
        <v>392</v>
      </c>
      <c r="G102" s="8" t="s">
        <v>393</v>
      </c>
      <c r="H102" s="8">
        <v>12.0</v>
      </c>
      <c r="I102" s="8">
        <v>0.0</v>
      </c>
      <c r="J102" s="8">
        <v>2.0</v>
      </c>
      <c r="K102" s="8" t="s">
        <v>164</v>
      </c>
      <c r="L102" s="8" t="s">
        <v>166</v>
      </c>
      <c r="M102" s="8" t="s">
        <v>882</v>
      </c>
      <c r="N102" s="8">
        <v>387.0</v>
      </c>
    </row>
    <row r="103" ht="15.75" customHeight="1">
      <c r="A103" s="8" t="s">
        <v>184</v>
      </c>
      <c r="B103" s="8" t="s">
        <v>57</v>
      </c>
      <c r="C103" s="8" t="s">
        <v>884</v>
      </c>
      <c r="D103" s="8" t="s">
        <v>129</v>
      </c>
      <c r="E103" s="8" t="s">
        <v>155</v>
      </c>
      <c r="F103" s="8" t="s">
        <v>441</v>
      </c>
      <c r="G103" s="8" t="s">
        <v>459</v>
      </c>
      <c r="H103" s="8">
        <v>16.0</v>
      </c>
      <c r="I103" s="8">
        <v>0.0</v>
      </c>
      <c r="J103" s="8">
        <v>4.0</v>
      </c>
      <c r="K103" s="8" t="s">
        <v>93</v>
      </c>
      <c r="L103" s="8" t="s">
        <v>94</v>
      </c>
      <c r="M103" s="8"/>
      <c r="N103" s="8">
        <v>459.0</v>
      </c>
    </row>
    <row r="104" ht="15.75" customHeight="1">
      <c r="A104" s="8" t="s">
        <v>184</v>
      </c>
      <c r="B104" s="8" t="s">
        <v>204</v>
      </c>
      <c r="C104" s="8" t="s">
        <v>888</v>
      </c>
      <c r="D104" s="8" t="s">
        <v>129</v>
      </c>
      <c r="E104" s="8" t="s">
        <v>155</v>
      </c>
      <c r="F104" s="8" t="s">
        <v>441</v>
      </c>
      <c r="G104" s="8" t="s">
        <v>459</v>
      </c>
      <c r="H104" s="8">
        <v>16.0</v>
      </c>
      <c r="I104" s="8">
        <v>7.0</v>
      </c>
      <c r="J104" s="8">
        <v>5.0</v>
      </c>
      <c r="K104" s="8" t="s">
        <v>93</v>
      </c>
      <c r="L104" s="8" t="s">
        <v>94</v>
      </c>
      <c r="M104" s="8" t="s">
        <v>892</v>
      </c>
      <c r="N104" s="8">
        <v>467.0</v>
      </c>
    </row>
    <row r="105" ht="15.75" customHeight="1">
      <c r="A105" s="8" t="s">
        <v>184</v>
      </c>
      <c r="B105" s="8" t="s">
        <v>221</v>
      </c>
      <c r="C105" s="8" t="s">
        <v>895</v>
      </c>
      <c r="D105" s="8" t="s">
        <v>129</v>
      </c>
      <c r="E105" s="8" t="s">
        <v>155</v>
      </c>
      <c r="F105" s="8" t="s">
        <v>451</v>
      </c>
      <c r="G105" s="8" t="s">
        <v>483</v>
      </c>
      <c r="H105" s="8">
        <v>18.0</v>
      </c>
      <c r="I105" s="8">
        <v>4.0</v>
      </c>
      <c r="J105" s="8">
        <v>3.0</v>
      </c>
      <c r="K105" s="8" t="s">
        <v>93</v>
      </c>
      <c r="L105" s="8" t="s">
        <v>94</v>
      </c>
      <c r="M105" s="8" t="s">
        <v>898</v>
      </c>
      <c r="N105" s="8">
        <v>531.0</v>
      </c>
    </row>
    <row r="106" ht="15.75" customHeight="1">
      <c r="A106" s="8" t="s">
        <v>184</v>
      </c>
      <c r="B106" s="8" t="s">
        <v>226</v>
      </c>
      <c r="C106" s="8" t="s">
        <v>205</v>
      </c>
      <c r="D106" s="8" t="s">
        <v>153</v>
      </c>
      <c r="E106" s="8" t="s">
        <v>182</v>
      </c>
      <c r="F106" s="8" t="s">
        <v>492</v>
      </c>
      <c r="G106" s="8" t="s">
        <v>811</v>
      </c>
      <c r="H106" s="8">
        <v>20.0</v>
      </c>
      <c r="I106" s="8">
        <v>14.0</v>
      </c>
      <c r="J106" s="8">
        <v>9.0</v>
      </c>
      <c r="K106" s="8" t="s">
        <v>214</v>
      </c>
      <c r="L106" s="8" t="s">
        <v>217</v>
      </c>
      <c r="M106" s="8" t="s">
        <v>902</v>
      </c>
      <c r="N106" s="8">
        <v>581.0</v>
      </c>
    </row>
    <row r="107" ht="15.75" customHeight="1">
      <c r="A107" s="8" t="s">
        <v>184</v>
      </c>
      <c r="B107" s="8" t="s">
        <v>249</v>
      </c>
      <c r="C107" s="8" t="s">
        <v>904</v>
      </c>
      <c r="D107" s="8" t="s">
        <v>153</v>
      </c>
      <c r="E107" s="8" t="s">
        <v>182</v>
      </c>
      <c r="F107" s="8" t="s">
        <v>500</v>
      </c>
      <c r="G107" s="8" t="s">
        <v>813</v>
      </c>
      <c r="H107" s="8">
        <v>21.0</v>
      </c>
      <c r="I107" s="8">
        <v>7.0</v>
      </c>
      <c r="J107" s="8">
        <v>6.0</v>
      </c>
      <c r="K107" s="8" t="s">
        <v>214</v>
      </c>
      <c r="L107" s="8" t="s">
        <v>217</v>
      </c>
      <c r="M107" s="8" t="s">
        <v>907</v>
      </c>
      <c r="N107" s="8">
        <v>618.0</v>
      </c>
    </row>
    <row r="108" ht="15.75" customHeight="1">
      <c r="A108" s="8" t="s">
        <v>184</v>
      </c>
      <c r="B108" s="8" t="s">
        <v>269</v>
      </c>
      <c r="C108" s="8" t="s">
        <v>910</v>
      </c>
      <c r="D108" s="8" t="s">
        <v>181</v>
      </c>
      <c r="E108" s="8" t="s">
        <v>211</v>
      </c>
      <c r="F108" s="8" t="s">
        <v>509</v>
      </c>
      <c r="G108" s="8" t="s">
        <v>511</v>
      </c>
      <c r="H108" s="8">
        <v>24.0</v>
      </c>
      <c r="I108" s="8">
        <v>13.0</v>
      </c>
      <c r="J108" s="8">
        <v>7.0</v>
      </c>
      <c r="K108" s="8" t="s">
        <v>237</v>
      </c>
      <c r="L108" s="8" t="s">
        <v>238</v>
      </c>
      <c r="M108" s="8" t="s">
        <v>913</v>
      </c>
      <c r="N108" s="8">
        <v>679.0</v>
      </c>
    </row>
    <row r="109" ht="15.75" customHeight="1">
      <c r="A109" s="8" t="s">
        <v>184</v>
      </c>
      <c r="B109" s="8" t="s">
        <v>281</v>
      </c>
      <c r="C109" s="8" t="s">
        <v>915</v>
      </c>
      <c r="D109" s="8" t="s">
        <v>181</v>
      </c>
      <c r="E109" s="8" t="s">
        <v>211</v>
      </c>
      <c r="F109" s="8" t="s">
        <v>509</v>
      </c>
      <c r="G109" s="8" t="s">
        <v>511</v>
      </c>
      <c r="H109" s="8">
        <v>24.0</v>
      </c>
      <c r="I109" s="8">
        <v>7.0</v>
      </c>
      <c r="J109" s="8">
        <v>6.0</v>
      </c>
      <c r="K109" s="8" t="s">
        <v>237</v>
      </c>
      <c r="L109" s="8" t="s">
        <v>238</v>
      </c>
      <c r="M109" s="8" t="s">
        <v>919</v>
      </c>
      <c r="N109" s="8">
        <v>702.0</v>
      </c>
    </row>
    <row r="110" ht="15.75" customHeight="1">
      <c r="A110" s="8" t="s">
        <v>184</v>
      </c>
      <c r="B110" s="8" t="s">
        <v>311</v>
      </c>
      <c r="C110" s="8" t="s">
        <v>920</v>
      </c>
      <c r="D110" s="8" t="s">
        <v>210</v>
      </c>
      <c r="E110" s="8" t="s">
        <v>243</v>
      </c>
      <c r="F110" s="8" t="s">
        <v>532</v>
      </c>
      <c r="G110" s="8" t="s">
        <v>247</v>
      </c>
      <c r="H110" s="8">
        <v>27.0</v>
      </c>
      <c r="I110" s="8">
        <v>14.0</v>
      </c>
      <c r="J110" s="8">
        <v>5.0</v>
      </c>
      <c r="K110" s="8" t="s">
        <v>256</v>
      </c>
      <c r="L110" s="8" t="s">
        <v>257</v>
      </c>
      <c r="M110" s="8" t="s">
        <v>922</v>
      </c>
      <c r="N110" s="8">
        <v>765.0</v>
      </c>
    </row>
    <row r="111" ht="15.75" customHeight="1">
      <c r="A111" s="8" t="s">
        <v>184</v>
      </c>
      <c r="B111" s="8" t="s">
        <v>240</v>
      </c>
      <c r="C111" s="8" t="s">
        <v>261</v>
      </c>
      <c r="D111" s="8" t="s">
        <v>241</v>
      </c>
      <c r="E111" s="8" t="s">
        <v>264</v>
      </c>
      <c r="F111" s="8"/>
      <c r="G111" s="8"/>
      <c r="H111" s="8">
        <v>29.0</v>
      </c>
      <c r="I111" s="8">
        <v>5.0</v>
      </c>
      <c r="J111" s="8">
        <v>4.0</v>
      </c>
      <c r="K111" s="8" t="s">
        <v>265</v>
      </c>
      <c r="L111" s="8" t="s">
        <v>266</v>
      </c>
      <c r="M111" s="8" t="s">
        <v>924</v>
      </c>
      <c r="N111" s="8">
        <v>808.0</v>
      </c>
    </row>
    <row r="112" ht="15.75" customHeight="1">
      <c r="A112" s="8" t="s">
        <v>184</v>
      </c>
      <c r="B112" s="8" t="s">
        <v>316</v>
      </c>
      <c r="C112" s="8" t="s">
        <v>556</v>
      </c>
      <c r="D112" s="8" t="s">
        <v>263</v>
      </c>
      <c r="E112" s="8" t="s">
        <v>285</v>
      </c>
      <c r="F112" s="8"/>
      <c r="G112" s="8"/>
      <c r="H112" s="8">
        <v>31.0</v>
      </c>
      <c r="I112" s="8">
        <v>7.0</v>
      </c>
      <c r="J112" s="8">
        <v>4.0</v>
      </c>
      <c r="K112" s="8" t="s">
        <v>287</v>
      </c>
      <c r="L112" s="8" t="s">
        <v>289</v>
      </c>
      <c r="M112" s="8" t="s">
        <v>928</v>
      </c>
      <c r="N112" s="8">
        <v>835.0</v>
      </c>
    </row>
    <row r="113" ht="15.75" customHeight="1">
      <c r="A113" s="8" t="s">
        <v>184</v>
      </c>
      <c r="B113" s="8" t="s">
        <v>260</v>
      </c>
      <c r="C113" s="8" t="s">
        <v>930</v>
      </c>
      <c r="D113" s="8" t="s">
        <v>272</v>
      </c>
      <c r="E113" s="8" t="s">
        <v>567</v>
      </c>
      <c r="F113" s="8"/>
      <c r="G113" s="8"/>
      <c r="H113" s="8">
        <v>33.0</v>
      </c>
      <c r="I113" s="8">
        <v>7.0</v>
      </c>
      <c r="J113" s="8">
        <v>4.0</v>
      </c>
      <c r="K113" s="8" t="s">
        <v>298</v>
      </c>
      <c r="L113" s="8" t="s">
        <v>299</v>
      </c>
      <c r="M113" s="8" t="s">
        <v>933</v>
      </c>
      <c r="N113" s="8">
        <v>858.0</v>
      </c>
    </row>
    <row r="114" ht="15.75" customHeight="1">
      <c r="A114" s="8" t="s">
        <v>184</v>
      </c>
      <c r="B114" s="8" t="s">
        <v>935</v>
      </c>
      <c r="C114" s="8" t="s">
        <v>936</v>
      </c>
      <c r="D114" s="8" t="s">
        <v>284</v>
      </c>
      <c r="E114" s="8" t="s">
        <v>852</v>
      </c>
      <c r="F114" s="8"/>
      <c r="G114" s="8"/>
      <c r="H114" s="8">
        <v>34.0</v>
      </c>
      <c r="I114" s="8">
        <v>8.0</v>
      </c>
      <c r="J114" s="8">
        <v>5.0</v>
      </c>
      <c r="K114" s="8" t="s">
        <v>298</v>
      </c>
      <c r="L114" s="8" t="s">
        <v>299</v>
      </c>
      <c r="M114" s="8" t="s">
        <v>937</v>
      </c>
      <c r="N114" s="8">
        <v>885.0</v>
      </c>
    </row>
    <row r="115" ht="15.75" customHeight="1">
      <c r="A115" s="8" t="s">
        <v>184</v>
      </c>
      <c r="B115" s="8" t="s">
        <v>290</v>
      </c>
      <c r="C115" s="8" t="s">
        <v>939</v>
      </c>
      <c r="D115" s="8" t="s">
        <v>292</v>
      </c>
      <c r="E115" s="8" t="s">
        <v>305</v>
      </c>
      <c r="F115" s="8" t="s">
        <v>585</v>
      </c>
      <c r="G115" s="8" t="s">
        <v>586</v>
      </c>
      <c r="H115" s="8">
        <v>35.0</v>
      </c>
      <c r="I115" s="8">
        <v>1.0</v>
      </c>
      <c r="J115" s="8">
        <v>4.0</v>
      </c>
      <c r="K115" s="8" t="s">
        <v>308</v>
      </c>
      <c r="L115" s="8" t="s">
        <v>309</v>
      </c>
      <c r="M115" s="8"/>
      <c r="N115" s="8">
        <v>913.0</v>
      </c>
    </row>
    <row r="116" ht="15.75" customHeight="1">
      <c r="A116" s="8" t="s">
        <v>184</v>
      </c>
      <c r="B116" s="8" t="s">
        <v>940</v>
      </c>
      <c r="C116" s="8" t="s">
        <v>941</v>
      </c>
      <c r="D116" s="8" t="s">
        <v>292</v>
      </c>
      <c r="E116" s="8" t="s">
        <v>305</v>
      </c>
      <c r="F116" s="8" t="s">
        <v>591</v>
      </c>
      <c r="G116" s="8" t="s">
        <v>314</v>
      </c>
      <c r="H116" s="8">
        <v>35.0</v>
      </c>
      <c r="I116" s="8">
        <v>8.0</v>
      </c>
      <c r="J116" s="8">
        <v>6.0</v>
      </c>
      <c r="K116" s="8" t="s">
        <v>308</v>
      </c>
      <c r="L116" s="8" t="s">
        <v>309</v>
      </c>
      <c r="M116" s="8" t="s">
        <v>942</v>
      </c>
      <c r="N116" s="8">
        <v>931.0</v>
      </c>
    </row>
    <row r="117" ht="15.75" customHeight="1">
      <c r="A117" s="8" t="s">
        <v>184</v>
      </c>
      <c r="B117" s="8" t="s">
        <v>57</v>
      </c>
      <c r="C117" s="8" t="s">
        <v>943</v>
      </c>
      <c r="D117" s="8" t="s">
        <v>292</v>
      </c>
      <c r="E117" s="8" t="s">
        <v>305</v>
      </c>
      <c r="F117" s="8" t="s">
        <v>595</v>
      </c>
      <c r="G117" s="8" t="s">
        <v>596</v>
      </c>
      <c r="H117" s="8">
        <v>36.0</v>
      </c>
      <c r="I117" s="8">
        <v>8.0</v>
      </c>
      <c r="J117" s="8">
        <v>6.0</v>
      </c>
      <c r="K117" s="8" t="s">
        <v>308</v>
      </c>
      <c r="L117" s="8" t="s">
        <v>309</v>
      </c>
      <c r="M117" s="8"/>
      <c r="N117" s="8">
        <v>957.0</v>
      </c>
    </row>
    <row r="118" ht="15.75" customHeight="1">
      <c r="A118" s="8" t="s">
        <v>184</v>
      </c>
      <c r="B118" s="8" t="s">
        <v>324</v>
      </c>
      <c r="C118" s="8" t="s">
        <v>944</v>
      </c>
      <c r="D118" s="8"/>
      <c r="E118" s="8" t="s">
        <v>878</v>
      </c>
      <c r="F118" s="8"/>
      <c r="G118" s="8"/>
      <c r="H118" s="8"/>
      <c r="I118" s="8">
        <v>25.0</v>
      </c>
      <c r="J118" s="8">
        <v>20.0</v>
      </c>
      <c r="K118" s="8" t="s">
        <v>328</v>
      </c>
      <c r="L118" s="8" t="s">
        <v>329</v>
      </c>
      <c r="M118" s="8"/>
      <c r="N118" s="8">
        <v>1061.0</v>
      </c>
    </row>
    <row r="119" ht="15.75" customHeight="1">
      <c r="A119" s="8" t="s">
        <v>184</v>
      </c>
      <c r="B119" s="8" t="s">
        <v>331</v>
      </c>
      <c r="C119" s="8" t="s">
        <v>945</v>
      </c>
      <c r="D119" s="8"/>
      <c r="E119" s="8" t="s">
        <v>880</v>
      </c>
      <c r="F119" s="8"/>
      <c r="G119" s="8"/>
      <c r="H119" s="8"/>
      <c r="I119" s="8">
        <v>3.0</v>
      </c>
      <c r="J119" s="8">
        <v>6.0</v>
      </c>
      <c r="K119" s="8" t="s">
        <v>328</v>
      </c>
      <c r="L119" s="8" t="s">
        <v>329</v>
      </c>
      <c r="M119" s="8"/>
      <c r="N119" s="8">
        <v>1098.0</v>
      </c>
    </row>
    <row r="120" ht="15.75" customHeight="1">
      <c r="A120" s="8" t="s">
        <v>184</v>
      </c>
      <c r="B120" s="8" t="s">
        <v>338</v>
      </c>
      <c r="C120" s="8" t="s">
        <v>947</v>
      </c>
      <c r="D120" s="8"/>
      <c r="E120" s="8" t="s">
        <v>618</v>
      </c>
      <c r="F120" s="8"/>
      <c r="G120" s="8"/>
      <c r="H120" s="8"/>
      <c r="I120" s="8">
        <v>16.0</v>
      </c>
      <c r="J120" s="8">
        <v>4.0</v>
      </c>
      <c r="K120" s="8" t="s">
        <v>328</v>
      </c>
      <c r="L120" s="8" t="s">
        <v>329</v>
      </c>
      <c r="M120" s="8"/>
      <c r="N120" s="8">
        <v>1113.0</v>
      </c>
    </row>
    <row r="121" ht="15.75" customHeight="1">
      <c r="A121" s="8" t="s">
        <v>212</v>
      </c>
      <c r="B121" s="8" t="s">
        <v>57</v>
      </c>
      <c r="C121" s="8" t="s">
        <v>949</v>
      </c>
      <c r="D121" s="8" t="s">
        <v>42</v>
      </c>
      <c r="E121" s="8" t="s">
        <v>44</v>
      </c>
      <c r="F121" s="8"/>
      <c r="G121" s="8"/>
      <c r="H121" s="8">
        <v>3.0</v>
      </c>
      <c r="I121" s="8">
        <v>3.0</v>
      </c>
      <c r="J121" s="8">
        <v>4.0</v>
      </c>
      <c r="K121" s="8" t="s">
        <v>72</v>
      </c>
      <c r="L121" s="8" t="s">
        <v>73</v>
      </c>
      <c r="M121" s="8"/>
      <c r="N121" s="8">
        <v>114.0</v>
      </c>
    </row>
    <row r="122" ht="15.75" customHeight="1">
      <c r="A122" s="8" t="s">
        <v>212</v>
      </c>
      <c r="B122" s="8" t="s">
        <v>99</v>
      </c>
      <c r="C122" s="8" t="s">
        <v>359</v>
      </c>
      <c r="D122" s="8" t="s">
        <v>42</v>
      </c>
      <c r="E122" s="8" t="s">
        <v>44</v>
      </c>
      <c r="F122" s="8" t="s">
        <v>951</v>
      </c>
      <c r="G122" s="8" t="s">
        <v>634</v>
      </c>
      <c r="H122" s="8">
        <v>3.0</v>
      </c>
      <c r="I122" s="8">
        <v>5.0</v>
      </c>
      <c r="J122" s="8">
        <v>4.0</v>
      </c>
      <c r="K122" s="8" t="s">
        <v>72</v>
      </c>
      <c r="L122" s="8" t="s">
        <v>73</v>
      </c>
      <c r="M122" s="8" t="s">
        <v>953</v>
      </c>
      <c r="N122" s="8">
        <v>145.0</v>
      </c>
    </row>
    <row r="123" ht="15.75" customHeight="1">
      <c r="A123" s="8" t="s">
        <v>212</v>
      </c>
      <c r="B123" s="8" t="s">
        <v>132</v>
      </c>
      <c r="C123" s="8" t="s">
        <v>362</v>
      </c>
      <c r="D123" s="8" t="s">
        <v>83</v>
      </c>
      <c r="E123" s="8" t="s">
        <v>890</v>
      </c>
      <c r="F123" s="8" t="s">
        <v>650</v>
      </c>
      <c r="G123" s="8" t="s">
        <v>954</v>
      </c>
      <c r="H123" s="8">
        <v>6.0</v>
      </c>
      <c r="I123" s="8">
        <v>5.0</v>
      </c>
      <c r="J123" s="8">
        <v>4.0</v>
      </c>
      <c r="K123" s="8" t="s">
        <v>111</v>
      </c>
      <c r="L123" s="8" t="s">
        <v>113</v>
      </c>
      <c r="M123" s="8" t="s">
        <v>955</v>
      </c>
      <c r="N123" s="8">
        <v>210.0</v>
      </c>
    </row>
    <row r="124" ht="15.75" customHeight="1">
      <c r="A124" s="8" t="s">
        <v>212</v>
      </c>
      <c r="B124" s="8" t="s">
        <v>120</v>
      </c>
      <c r="C124" s="8" t="s">
        <v>367</v>
      </c>
      <c r="D124" s="8" t="s">
        <v>83</v>
      </c>
      <c r="E124" s="8" t="s">
        <v>890</v>
      </c>
      <c r="F124" s="8" t="s">
        <v>368</v>
      </c>
      <c r="G124" s="8" t="s">
        <v>369</v>
      </c>
      <c r="H124" s="8">
        <v>6.0</v>
      </c>
      <c r="I124" s="8">
        <v>5.0</v>
      </c>
      <c r="J124" s="8">
        <v>5.0</v>
      </c>
      <c r="K124" s="8" t="s">
        <v>111</v>
      </c>
      <c r="L124" s="8" t="s">
        <v>113</v>
      </c>
      <c r="M124" s="8" t="s">
        <v>957</v>
      </c>
      <c r="N124" s="8">
        <v>227.0</v>
      </c>
    </row>
    <row r="125" ht="15.75" customHeight="1">
      <c r="A125" s="8" t="s">
        <v>212</v>
      </c>
      <c r="B125" s="8" t="s">
        <v>154</v>
      </c>
      <c r="C125" s="8" t="s">
        <v>958</v>
      </c>
      <c r="D125" s="8" t="s">
        <v>124</v>
      </c>
      <c r="E125" s="8" t="s">
        <v>130</v>
      </c>
      <c r="F125" s="8" t="s">
        <v>381</v>
      </c>
      <c r="G125" s="8" t="s">
        <v>960</v>
      </c>
      <c r="H125" s="8">
        <v>8.0</v>
      </c>
      <c r="I125" s="8">
        <v>10.0</v>
      </c>
      <c r="J125" s="8">
        <v>4.0</v>
      </c>
      <c r="K125" s="8" t="s">
        <v>164</v>
      </c>
      <c r="L125" s="8" t="s">
        <v>166</v>
      </c>
      <c r="M125" s="8" t="s">
        <v>964</v>
      </c>
      <c r="N125" s="8">
        <v>292.0</v>
      </c>
    </row>
    <row r="126" ht="15.75" customHeight="1">
      <c r="A126" s="8" t="s">
        <v>212</v>
      </c>
      <c r="B126" s="8" t="s">
        <v>186</v>
      </c>
      <c r="C126" s="8" t="s">
        <v>965</v>
      </c>
      <c r="D126" s="8" t="s">
        <v>124</v>
      </c>
      <c r="E126" s="8" t="s">
        <v>130</v>
      </c>
      <c r="F126" s="8" t="s">
        <v>392</v>
      </c>
      <c r="G126" s="8" t="s">
        <v>966</v>
      </c>
      <c r="H126" s="8">
        <v>8.0</v>
      </c>
      <c r="I126" s="8">
        <v>6.0</v>
      </c>
      <c r="J126" s="8">
        <v>9.0</v>
      </c>
      <c r="K126" s="8" t="s">
        <v>164</v>
      </c>
      <c r="L126" s="8" t="s">
        <v>166</v>
      </c>
      <c r="M126" s="8" t="s">
        <v>967</v>
      </c>
      <c r="N126" s="8">
        <v>316.0</v>
      </c>
    </row>
    <row r="127" ht="15.75" customHeight="1">
      <c r="A127" s="8" t="s">
        <v>212</v>
      </c>
      <c r="B127" s="8" t="s">
        <v>141</v>
      </c>
      <c r="C127" s="8" t="s">
        <v>968</v>
      </c>
      <c r="D127" s="8" t="s">
        <v>124</v>
      </c>
      <c r="E127" s="8" t="s">
        <v>130</v>
      </c>
      <c r="F127" s="8" t="s">
        <v>410</v>
      </c>
      <c r="G127" s="8" t="s">
        <v>412</v>
      </c>
      <c r="H127" s="8">
        <v>8.0</v>
      </c>
      <c r="I127" s="8">
        <v>12.0</v>
      </c>
      <c r="J127" s="8">
        <v>4.0</v>
      </c>
      <c r="K127" s="8" t="s">
        <v>164</v>
      </c>
      <c r="L127" s="8" t="s">
        <v>166</v>
      </c>
      <c r="M127" s="8" t="s">
        <v>969</v>
      </c>
      <c r="N127" s="8">
        <v>344.0</v>
      </c>
    </row>
    <row r="128" ht="15.75" customHeight="1">
      <c r="A128" s="8" t="s">
        <v>212</v>
      </c>
      <c r="B128" s="8" t="s">
        <v>168</v>
      </c>
      <c r="C128" s="8" t="s">
        <v>971</v>
      </c>
      <c r="D128" s="8" t="s">
        <v>129</v>
      </c>
      <c r="E128" s="8" t="s">
        <v>155</v>
      </c>
      <c r="F128" s="8" t="s">
        <v>441</v>
      </c>
      <c r="G128" s="8" t="s">
        <v>973</v>
      </c>
      <c r="H128" s="8">
        <v>13.0</v>
      </c>
      <c r="I128" s="8">
        <v>1.0</v>
      </c>
      <c r="J128" s="8">
        <v>4.0</v>
      </c>
      <c r="K128" s="8" t="s">
        <v>93</v>
      </c>
      <c r="L128" s="8" t="s">
        <v>94</v>
      </c>
      <c r="M128" s="8" t="s">
        <v>975</v>
      </c>
      <c r="N128" s="8">
        <v>412.0</v>
      </c>
    </row>
    <row r="129" ht="15.75" customHeight="1">
      <c r="A129" s="8" t="s">
        <v>212</v>
      </c>
      <c r="B129" s="8" t="s">
        <v>204</v>
      </c>
      <c r="C129" s="8" t="s">
        <v>468</v>
      </c>
      <c r="D129" s="8" t="s">
        <v>129</v>
      </c>
      <c r="E129" s="8" t="s">
        <v>155</v>
      </c>
      <c r="F129" s="8" t="s">
        <v>446</v>
      </c>
      <c r="G129" s="8" t="s">
        <v>976</v>
      </c>
      <c r="H129" s="8">
        <v>13.0</v>
      </c>
      <c r="I129" s="8">
        <v>9.0</v>
      </c>
      <c r="J129" s="8">
        <v>13.0</v>
      </c>
      <c r="K129" s="8" t="s">
        <v>93</v>
      </c>
      <c r="L129" s="8" t="s">
        <v>94</v>
      </c>
      <c r="M129" s="8" t="s">
        <v>980</v>
      </c>
      <c r="N129" s="8">
        <v>429.0</v>
      </c>
    </row>
    <row r="130" ht="15.75" customHeight="1">
      <c r="A130" s="8" t="s">
        <v>212</v>
      </c>
      <c r="B130" s="8" t="s">
        <v>221</v>
      </c>
      <c r="C130" s="8" t="s">
        <v>983</v>
      </c>
      <c r="D130" s="8" t="s">
        <v>129</v>
      </c>
      <c r="E130" s="8" t="s">
        <v>155</v>
      </c>
      <c r="F130" s="8" t="s">
        <v>446</v>
      </c>
      <c r="G130" s="8" t="s">
        <v>976</v>
      </c>
      <c r="H130" s="8">
        <v>13.0</v>
      </c>
      <c r="I130" s="8">
        <v>9.0</v>
      </c>
      <c r="J130" s="8">
        <v>4.0</v>
      </c>
      <c r="K130" s="8" t="s">
        <v>93</v>
      </c>
      <c r="L130" s="8" t="s">
        <v>94</v>
      </c>
      <c r="M130" s="8" t="s">
        <v>989</v>
      </c>
      <c r="N130" s="8">
        <v>448.0</v>
      </c>
    </row>
    <row r="131" ht="15.75" customHeight="1">
      <c r="A131" s="8" t="s">
        <v>212</v>
      </c>
      <c r="B131" s="8" t="s">
        <v>176</v>
      </c>
      <c r="C131" s="8" t="s">
        <v>992</v>
      </c>
      <c r="D131" s="8" t="s">
        <v>129</v>
      </c>
      <c r="E131" s="8" t="s">
        <v>155</v>
      </c>
      <c r="F131" s="8" t="s">
        <v>433</v>
      </c>
      <c r="G131" s="8" t="s">
        <v>992</v>
      </c>
      <c r="H131" s="8">
        <v>13.0</v>
      </c>
      <c r="I131" s="8">
        <v>8.0</v>
      </c>
      <c r="J131" s="8">
        <v>5.0</v>
      </c>
      <c r="K131" s="8" t="s">
        <v>93</v>
      </c>
      <c r="L131" s="8" t="s">
        <v>94</v>
      </c>
      <c r="M131" s="8" t="s">
        <v>993</v>
      </c>
      <c r="N131" s="8">
        <v>489.0</v>
      </c>
    </row>
    <row r="132" ht="15.75" customHeight="1">
      <c r="A132" s="8" t="s">
        <v>212</v>
      </c>
      <c r="B132" s="8" t="s">
        <v>194</v>
      </c>
      <c r="C132" s="8" t="s">
        <v>706</v>
      </c>
      <c r="D132" s="8" t="s">
        <v>129</v>
      </c>
      <c r="E132" s="8" t="s">
        <v>155</v>
      </c>
      <c r="F132" s="8" t="s">
        <v>443</v>
      </c>
      <c r="G132" s="8" t="s">
        <v>995</v>
      </c>
      <c r="H132" s="8">
        <v>13.0</v>
      </c>
      <c r="I132" s="8">
        <v>9.0</v>
      </c>
      <c r="J132" s="8">
        <v>5.0</v>
      </c>
      <c r="K132" s="8" t="s">
        <v>93</v>
      </c>
      <c r="L132" s="8" t="s">
        <v>94</v>
      </c>
      <c r="M132" s="8" t="s">
        <v>996</v>
      </c>
      <c r="N132" s="8">
        <v>515.0</v>
      </c>
    </row>
    <row r="133" ht="15.75" customHeight="1">
      <c r="A133" s="8" t="s">
        <v>212</v>
      </c>
      <c r="B133" s="8" t="s">
        <v>240</v>
      </c>
      <c r="C133" s="8" t="s">
        <v>997</v>
      </c>
      <c r="D133" s="8" t="s">
        <v>129</v>
      </c>
      <c r="E133" s="8" t="s">
        <v>155</v>
      </c>
      <c r="F133" s="8" t="s">
        <v>458</v>
      </c>
      <c r="G133" s="8" t="s">
        <v>998</v>
      </c>
      <c r="H133" s="8">
        <v>13.0</v>
      </c>
      <c r="I133" s="8">
        <v>9.0</v>
      </c>
      <c r="J133" s="8">
        <v>5.0</v>
      </c>
      <c r="K133" s="8" t="s">
        <v>198</v>
      </c>
      <c r="L133" s="8" t="s">
        <v>199</v>
      </c>
      <c r="M133" s="8" t="s">
        <v>999</v>
      </c>
      <c r="N133" s="8">
        <v>556.0</v>
      </c>
    </row>
    <row r="134" ht="15.75" customHeight="1">
      <c r="A134" s="8" t="s">
        <v>212</v>
      </c>
      <c r="B134" s="8" t="s">
        <v>226</v>
      </c>
      <c r="C134" s="8" t="s">
        <v>1000</v>
      </c>
      <c r="D134" s="8" t="s">
        <v>153</v>
      </c>
      <c r="E134" s="8" t="s">
        <v>182</v>
      </c>
      <c r="F134" s="8" t="s">
        <v>492</v>
      </c>
      <c r="G134" s="8" t="s">
        <v>1001</v>
      </c>
      <c r="H134" s="8">
        <v>19.0</v>
      </c>
      <c r="I134" s="8">
        <v>19.0</v>
      </c>
      <c r="J134" s="8">
        <v>9.0</v>
      </c>
      <c r="K134" s="8" t="s">
        <v>214</v>
      </c>
      <c r="L134" s="8" t="s">
        <v>217</v>
      </c>
      <c r="M134" s="8" t="s">
        <v>1002</v>
      </c>
      <c r="N134" s="8">
        <v>601.0</v>
      </c>
    </row>
    <row r="135" ht="15.75" customHeight="1">
      <c r="A135" s="8" t="s">
        <v>212</v>
      </c>
      <c r="B135" s="8" t="s">
        <v>260</v>
      </c>
      <c r="C135" s="8" t="s">
        <v>1003</v>
      </c>
      <c r="D135" s="8" t="s">
        <v>153</v>
      </c>
      <c r="E135" s="8" t="s">
        <v>182</v>
      </c>
      <c r="F135" s="8" t="s">
        <v>492</v>
      </c>
      <c r="G135" s="8" t="s">
        <v>1001</v>
      </c>
      <c r="H135" s="8">
        <v>19.0</v>
      </c>
      <c r="I135" s="8">
        <v>1.0</v>
      </c>
      <c r="J135" s="8">
        <v>4.0</v>
      </c>
      <c r="K135" s="8" t="s">
        <v>214</v>
      </c>
      <c r="L135" s="8" t="s">
        <v>217</v>
      </c>
      <c r="M135" s="8" t="s">
        <v>1004</v>
      </c>
      <c r="N135" s="8">
        <v>632.0</v>
      </c>
    </row>
    <row r="136" ht="15.75" customHeight="1">
      <c r="A136" s="8" t="s">
        <v>212</v>
      </c>
      <c r="B136" s="8" t="s">
        <v>290</v>
      </c>
      <c r="C136" s="8" t="s">
        <v>1005</v>
      </c>
      <c r="D136" s="8" t="s">
        <v>153</v>
      </c>
      <c r="E136" s="8" t="s">
        <v>182</v>
      </c>
      <c r="F136" s="8" t="s">
        <v>500</v>
      </c>
      <c r="G136" s="8" t="s">
        <v>1006</v>
      </c>
      <c r="H136" s="8">
        <v>19.0</v>
      </c>
      <c r="I136" s="8">
        <v>5.0</v>
      </c>
      <c r="J136" s="8">
        <v>4.0</v>
      </c>
      <c r="K136" s="8" t="s">
        <v>214</v>
      </c>
      <c r="L136" s="8" t="s">
        <v>217</v>
      </c>
      <c r="M136" s="8" t="s">
        <v>1008</v>
      </c>
      <c r="N136" s="8">
        <v>663.0</v>
      </c>
    </row>
    <row r="137" ht="15.75" customHeight="1">
      <c r="A137" s="8" t="s">
        <v>212</v>
      </c>
      <c r="B137" s="8" t="s">
        <v>301</v>
      </c>
      <c r="C137" s="8" t="s">
        <v>1009</v>
      </c>
      <c r="D137" s="8" t="s">
        <v>181</v>
      </c>
      <c r="E137" s="8" t="s">
        <v>211</v>
      </c>
      <c r="F137" s="8" t="s">
        <v>509</v>
      </c>
      <c r="G137" s="8" t="s">
        <v>1010</v>
      </c>
      <c r="H137" s="8">
        <v>23.0</v>
      </c>
      <c r="I137" s="8">
        <v>8.0</v>
      </c>
      <c r="J137" s="8">
        <v>3.0</v>
      </c>
      <c r="K137" s="8" t="s">
        <v>237</v>
      </c>
      <c r="L137" s="8" t="s">
        <v>238</v>
      </c>
      <c r="M137" s="8" t="s">
        <v>1011</v>
      </c>
      <c r="N137" s="8">
        <v>714.0</v>
      </c>
    </row>
    <row r="138" ht="15.75" customHeight="1">
      <c r="A138" s="8" t="s">
        <v>212</v>
      </c>
      <c r="B138" s="8" t="s">
        <v>249</v>
      </c>
      <c r="C138" s="8" t="s">
        <v>529</v>
      </c>
      <c r="D138" s="8" t="s">
        <v>210</v>
      </c>
      <c r="E138" s="8" t="s">
        <v>243</v>
      </c>
      <c r="F138" s="8" t="s">
        <v>550</v>
      </c>
      <c r="G138" s="8" t="s">
        <v>247</v>
      </c>
      <c r="H138" s="8">
        <v>25.0</v>
      </c>
      <c r="I138" s="8">
        <v>10.0</v>
      </c>
      <c r="J138" s="8">
        <v>3.0</v>
      </c>
      <c r="K138" s="8" t="s">
        <v>256</v>
      </c>
      <c r="L138" s="8" t="s">
        <v>257</v>
      </c>
      <c r="M138" s="8" t="s">
        <v>1012</v>
      </c>
      <c r="N138" s="8">
        <v>768.0</v>
      </c>
    </row>
    <row r="139" ht="15.75" customHeight="1">
      <c r="A139" s="8" t="s">
        <v>212</v>
      </c>
      <c r="B139" s="8" t="s">
        <v>546</v>
      </c>
      <c r="C139" s="8" t="s">
        <v>1014</v>
      </c>
      <c r="D139" s="8" t="s">
        <v>210</v>
      </c>
      <c r="E139" s="8" t="s">
        <v>243</v>
      </c>
      <c r="F139" s="8" t="s">
        <v>532</v>
      </c>
      <c r="G139" s="8" t="s">
        <v>1017</v>
      </c>
      <c r="H139" s="8">
        <v>25.0</v>
      </c>
      <c r="I139" s="8">
        <v>7.0</v>
      </c>
      <c r="J139" s="8">
        <v>3.0</v>
      </c>
      <c r="K139" s="8" t="s">
        <v>265</v>
      </c>
      <c r="L139" s="8" t="s">
        <v>266</v>
      </c>
      <c r="M139" s="8" t="s">
        <v>1018</v>
      </c>
      <c r="N139" s="8">
        <v>798.0</v>
      </c>
    </row>
    <row r="140" ht="15.75" customHeight="1">
      <c r="A140" s="8" t="s">
        <v>212</v>
      </c>
      <c r="B140" s="8" t="s">
        <v>564</v>
      </c>
      <c r="C140" s="8" t="s">
        <v>1020</v>
      </c>
      <c r="D140" s="8" t="s">
        <v>241</v>
      </c>
      <c r="E140" s="8" t="s">
        <v>264</v>
      </c>
      <c r="F140" s="8"/>
      <c r="G140" s="8"/>
      <c r="H140" s="8">
        <v>27.0</v>
      </c>
      <c r="I140" s="8">
        <v>5.0</v>
      </c>
      <c r="J140" s="8">
        <v>4.0</v>
      </c>
      <c r="K140" s="8" t="s">
        <v>265</v>
      </c>
      <c r="L140" s="8" t="s">
        <v>266</v>
      </c>
      <c r="M140" s="8" t="s">
        <v>1021</v>
      </c>
      <c r="N140" s="8">
        <v>846.0</v>
      </c>
    </row>
    <row r="141" ht="15.75" customHeight="1">
      <c r="A141" s="8" t="s">
        <v>212</v>
      </c>
      <c r="B141" s="8" t="s">
        <v>269</v>
      </c>
      <c r="C141" s="8" t="s">
        <v>556</v>
      </c>
      <c r="D141" s="8" t="s">
        <v>263</v>
      </c>
      <c r="E141" s="8" t="s">
        <v>285</v>
      </c>
      <c r="F141" s="8"/>
      <c r="G141" s="8"/>
      <c r="H141" s="8">
        <v>29.0</v>
      </c>
      <c r="I141" s="8">
        <v>12.0</v>
      </c>
      <c r="J141" s="8">
        <v>4.0</v>
      </c>
      <c r="K141" s="8" t="s">
        <v>287</v>
      </c>
      <c r="L141" s="8" t="s">
        <v>289</v>
      </c>
      <c r="M141" s="8" t="s">
        <v>1022</v>
      </c>
      <c r="N141" s="8">
        <v>881.0</v>
      </c>
    </row>
    <row r="142" ht="15.75" customHeight="1">
      <c r="A142" s="8" t="s">
        <v>212</v>
      </c>
      <c r="B142" s="8" t="s">
        <v>582</v>
      </c>
      <c r="C142" s="8" t="s">
        <v>565</v>
      </c>
      <c r="D142" s="8" t="s">
        <v>272</v>
      </c>
      <c r="E142" s="8" t="s">
        <v>567</v>
      </c>
      <c r="F142" s="8"/>
      <c r="G142" s="8"/>
      <c r="H142" s="8">
        <v>31.0</v>
      </c>
      <c r="I142" s="8">
        <v>7.0</v>
      </c>
      <c r="J142" s="8">
        <v>4.0</v>
      </c>
      <c r="K142" s="8" t="s">
        <v>298</v>
      </c>
      <c r="L142" s="8" t="s">
        <v>299</v>
      </c>
      <c r="M142" s="8" t="s">
        <v>1024</v>
      </c>
      <c r="N142" s="8">
        <v>921.0</v>
      </c>
    </row>
    <row r="143" ht="15.75" customHeight="1">
      <c r="A143" s="8" t="s">
        <v>212</v>
      </c>
      <c r="B143" s="8" t="s">
        <v>281</v>
      </c>
      <c r="C143" s="8" t="s">
        <v>1025</v>
      </c>
      <c r="D143" s="8" t="s">
        <v>284</v>
      </c>
      <c r="E143" s="8" t="s">
        <v>916</v>
      </c>
      <c r="F143" s="8"/>
      <c r="G143" s="8"/>
      <c r="H143" s="8">
        <v>33.0</v>
      </c>
      <c r="I143" s="8">
        <v>7.0</v>
      </c>
      <c r="J143" s="8">
        <v>5.0</v>
      </c>
      <c r="K143" s="8" t="s">
        <v>298</v>
      </c>
      <c r="L143" s="8" t="s">
        <v>299</v>
      </c>
      <c r="M143" s="8" t="s">
        <v>1026</v>
      </c>
      <c r="N143" s="8">
        <v>958.0</v>
      </c>
    </row>
    <row r="144" ht="15.75" customHeight="1">
      <c r="A144" s="8" t="s">
        <v>212</v>
      </c>
      <c r="B144" s="8" t="s">
        <v>809</v>
      </c>
      <c r="C144" s="8" t="s">
        <v>1027</v>
      </c>
      <c r="D144" s="8" t="s">
        <v>292</v>
      </c>
      <c r="E144" s="8" t="s">
        <v>305</v>
      </c>
      <c r="F144" s="8" t="s">
        <v>585</v>
      </c>
      <c r="G144" s="8" t="s">
        <v>586</v>
      </c>
      <c r="H144" s="8">
        <v>35.0</v>
      </c>
      <c r="I144" s="8">
        <v>3.0</v>
      </c>
      <c r="J144" s="8">
        <v>4.0</v>
      </c>
      <c r="K144" s="8" t="s">
        <v>308</v>
      </c>
      <c r="L144" s="8" t="s">
        <v>309</v>
      </c>
      <c r="M144" s="8" t="s">
        <v>1030</v>
      </c>
      <c r="N144" s="8">
        <v>989.0</v>
      </c>
    </row>
    <row r="145" ht="15.75" customHeight="1">
      <c r="A145" s="8" t="s">
        <v>212</v>
      </c>
      <c r="B145" s="8" t="s">
        <v>311</v>
      </c>
      <c r="C145" s="8" t="s">
        <v>941</v>
      </c>
      <c r="D145" s="8" t="s">
        <v>292</v>
      </c>
      <c r="E145" s="8" t="s">
        <v>305</v>
      </c>
      <c r="F145" s="8" t="s">
        <v>591</v>
      </c>
      <c r="G145" s="8" t="s">
        <v>314</v>
      </c>
      <c r="H145" s="8">
        <v>35.0</v>
      </c>
      <c r="I145" s="8">
        <v>8.0</v>
      </c>
      <c r="J145" s="8">
        <v>6.0</v>
      </c>
      <c r="K145" s="8" t="s">
        <v>308</v>
      </c>
      <c r="L145" s="8" t="s">
        <v>309</v>
      </c>
      <c r="M145" s="8" t="s">
        <v>1032</v>
      </c>
      <c r="N145" s="8">
        <v>1004.0</v>
      </c>
    </row>
    <row r="146" ht="15.75" customHeight="1">
      <c r="A146" s="8" t="s">
        <v>212</v>
      </c>
      <c r="B146" s="8" t="s">
        <v>316</v>
      </c>
      <c r="C146" s="8" t="s">
        <v>1033</v>
      </c>
      <c r="D146" s="8" t="s">
        <v>292</v>
      </c>
      <c r="E146" s="8" t="s">
        <v>305</v>
      </c>
      <c r="F146" s="8" t="s">
        <v>591</v>
      </c>
      <c r="G146" s="8" t="s">
        <v>314</v>
      </c>
      <c r="H146" s="8">
        <v>35.0</v>
      </c>
      <c r="I146" s="8">
        <v>12.0</v>
      </c>
      <c r="J146" s="8">
        <v>5.0</v>
      </c>
      <c r="K146" s="8" t="s">
        <v>321</v>
      </c>
      <c r="L146" s="8" t="s">
        <v>322</v>
      </c>
      <c r="M146" s="8" t="s">
        <v>1034</v>
      </c>
      <c r="N146" s="8">
        <v>1022.0</v>
      </c>
    </row>
    <row r="147" ht="15.75" customHeight="1">
      <c r="A147" s="8" t="s">
        <v>212</v>
      </c>
      <c r="B147" s="8" t="s">
        <v>324</v>
      </c>
      <c r="C147" s="8" t="s">
        <v>1037</v>
      </c>
      <c r="D147" s="8"/>
      <c r="E147" s="8" t="s">
        <v>1038</v>
      </c>
      <c r="F147" s="8"/>
      <c r="G147" s="8"/>
      <c r="H147" s="8"/>
      <c r="I147" s="8">
        <v>9.0</v>
      </c>
      <c r="J147" s="8">
        <v>23.0</v>
      </c>
      <c r="K147" s="8" t="s">
        <v>328</v>
      </c>
      <c r="L147" s="8" t="s">
        <v>329</v>
      </c>
      <c r="M147" s="8" t="s">
        <v>1039</v>
      </c>
      <c r="N147" s="8">
        <v>1156.0</v>
      </c>
    </row>
    <row r="148" ht="15.75" customHeight="1">
      <c r="A148" s="8" t="s">
        <v>212</v>
      </c>
      <c r="B148" s="8" t="s">
        <v>331</v>
      </c>
      <c r="C148" s="8" t="s">
        <v>1040</v>
      </c>
      <c r="D148" s="8"/>
      <c r="E148" s="8" t="s">
        <v>1038</v>
      </c>
      <c r="F148" s="8"/>
      <c r="G148" s="8"/>
      <c r="H148" s="8"/>
      <c r="I148" s="8">
        <v>9.0</v>
      </c>
      <c r="J148" s="8">
        <v>7.0</v>
      </c>
      <c r="K148" s="8" t="s">
        <v>328</v>
      </c>
      <c r="L148" s="8" t="s">
        <v>329</v>
      </c>
      <c r="M148" s="8" t="s">
        <v>1042</v>
      </c>
      <c r="N148" s="8">
        <v>1180.0</v>
      </c>
    </row>
    <row r="149" ht="15.75" customHeight="1">
      <c r="A149" s="8" t="s">
        <v>212</v>
      </c>
      <c r="B149" s="8" t="s">
        <v>338</v>
      </c>
      <c r="C149" s="8" t="s">
        <v>1043</v>
      </c>
      <c r="D149" s="8"/>
      <c r="E149" s="8" t="s">
        <v>1038</v>
      </c>
      <c r="F149" s="8"/>
      <c r="G149" s="8"/>
      <c r="H149" s="8"/>
      <c r="I149" s="8">
        <v>21.0</v>
      </c>
      <c r="J149" s="8">
        <v>4.0</v>
      </c>
      <c r="K149" s="8" t="s">
        <v>328</v>
      </c>
      <c r="L149" s="8" t="s">
        <v>329</v>
      </c>
      <c r="M149" s="8" t="s">
        <v>1044</v>
      </c>
      <c r="N149" s="8">
        <v>1203.0</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49"/>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2.0"/>
    <col customWidth="1" min="3" max="3" width="140.0"/>
    <col customWidth="1" min="4" max="26" width="8.71"/>
  </cols>
  <sheetData>
    <row r="1">
      <c r="A1" s="2" t="s">
        <v>1</v>
      </c>
      <c r="B1" s="2" t="s">
        <v>245</v>
      </c>
      <c r="C1" s="2" t="s">
        <v>246</v>
      </c>
    </row>
    <row r="2">
      <c r="A2" s="8" t="s">
        <v>34</v>
      </c>
      <c r="B2" s="8" t="s">
        <v>9</v>
      </c>
      <c r="C2" s="8" t="s">
        <v>112</v>
      </c>
    </row>
    <row r="3">
      <c r="A3" s="8" t="s">
        <v>34</v>
      </c>
      <c r="B3" s="8" t="s">
        <v>10</v>
      </c>
      <c r="C3" s="8" t="s">
        <v>115</v>
      </c>
    </row>
    <row r="4">
      <c r="A4" s="8" t="s">
        <v>34</v>
      </c>
      <c r="B4" s="8" t="s">
        <v>252</v>
      </c>
      <c r="C4" s="8" t="s">
        <v>253</v>
      </c>
    </row>
    <row r="5">
      <c r="A5" s="8" t="s">
        <v>34</v>
      </c>
      <c r="B5" s="8" t="s">
        <v>255</v>
      </c>
      <c r="C5" s="8" t="s">
        <v>108</v>
      </c>
    </row>
    <row r="6">
      <c r="A6" s="8" t="s">
        <v>34</v>
      </c>
      <c r="B6" s="8" t="s">
        <v>258</v>
      </c>
      <c r="C6" s="8" t="s">
        <v>118</v>
      </c>
    </row>
    <row r="7">
      <c r="A7" s="8" t="s">
        <v>34</v>
      </c>
      <c r="B7" s="8" t="s">
        <v>96</v>
      </c>
      <c r="C7" s="8" t="s">
        <v>121</v>
      </c>
    </row>
    <row r="8">
      <c r="A8" s="8" t="s">
        <v>128</v>
      </c>
      <c r="B8" s="8" t="s">
        <v>9</v>
      </c>
      <c r="C8" s="8" t="s">
        <v>112</v>
      </c>
    </row>
    <row r="9">
      <c r="A9" s="8" t="s">
        <v>128</v>
      </c>
      <c r="B9" s="8" t="s">
        <v>10</v>
      </c>
      <c r="C9" s="8" t="s">
        <v>149</v>
      </c>
    </row>
    <row r="10">
      <c r="A10" s="8" t="s">
        <v>128</v>
      </c>
      <c r="B10" s="8" t="s">
        <v>252</v>
      </c>
      <c r="C10" s="8" t="s">
        <v>268</v>
      </c>
    </row>
    <row r="11">
      <c r="A11" s="8" t="s">
        <v>128</v>
      </c>
      <c r="B11" s="8" t="s">
        <v>255</v>
      </c>
      <c r="C11" s="8" t="s">
        <v>146</v>
      </c>
    </row>
    <row r="12">
      <c r="A12" s="8" t="s">
        <v>128</v>
      </c>
      <c r="B12" s="8" t="s">
        <v>258</v>
      </c>
      <c r="C12" s="8" t="s">
        <v>150</v>
      </c>
    </row>
    <row r="13">
      <c r="A13" s="8" t="s">
        <v>128</v>
      </c>
      <c r="B13" s="8" t="s">
        <v>96</v>
      </c>
      <c r="C13" s="8" t="s">
        <v>152</v>
      </c>
    </row>
    <row r="14">
      <c r="A14" s="8" t="s">
        <v>158</v>
      </c>
      <c r="B14" s="8" t="s">
        <v>9</v>
      </c>
      <c r="C14" s="8" t="s">
        <v>112</v>
      </c>
    </row>
    <row r="15">
      <c r="A15" s="8" t="s">
        <v>158</v>
      </c>
      <c r="B15" s="8" t="s">
        <v>10</v>
      </c>
      <c r="C15" s="8" t="s">
        <v>149</v>
      </c>
    </row>
    <row r="16">
      <c r="A16" s="8" t="s">
        <v>158</v>
      </c>
      <c r="B16" s="8" t="s">
        <v>252</v>
      </c>
      <c r="C16" s="8" t="s">
        <v>268</v>
      </c>
    </row>
    <row r="17">
      <c r="A17" s="8" t="s">
        <v>158</v>
      </c>
      <c r="B17" s="8" t="s">
        <v>255</v>
      </c>
      <c r="C17" s="8" t="s">
        <v>174</v>
      </c>
    </row>
    <row r="18">
      <c r="A18" s="8" t="s">
        <v>158</v>
      </c>
      <c r="B18" s="8" t="s">
        <v>258</v>
      </c>
      <c r="C18" s="8" t="s">
        <v>178</v>
      </c>
    </row>
    <row r="19">
      <c r="A19" s="8" t="s">
        <v>158</v>
      </c>
      <c r="B19" s="8" t="s">
        <v>96</v>
      </c>
      <c r="C19" s="8" t="s">
        <v>180</v>
      </c>
    </row>
    <row r="20">
      <c r="A20" s="8" t="s">
        <v>184</v>
      </c>
      <c r="B20" s="8" t="s">
        <v>9</v>
      </c>
      <c r="C20" s="8" t="s">
        <v>203</v>
      </c>
    </row>
    <row r="21" ht="15.75" customHeight="1">
      <c r="A21" s="8" t="s">
        <v>184</v>
      </c>
      <c r="B21" s="8" t="s">
        <v>10</v>
      </c>
      <c r="C21" s="8" t="s">
        <v>149</v>
      </c>
    </row>
    <row r="22" ht="15.75" customHeight="1">
      <c r="A22" s="8" t="s">
        <v>184</v>
      </c>
      <c r="B22" s="8" t="s">
        <v>252</v>
      </c>
      <c r="C22" s="8" t="s">
        <v>268</v>
      </c>
    </row>
    <row r="23" ht="15.75" customHeight="1">
      <c r="A23" s="8" t="s">
        <v>184</v>
      </c>
      <c r="B23" s="8" t="s">
        <v>255</v>
      </c>
      <c r="C23" s="8" t="s">
        <v>202</v>
      </c>
    </row>
    <row r="24" ht="15.75" customHeight="1">
      <c r="A24" s="8" t="s">
        <v>184</v>
      </c>
      <c r="B24" s="8" t="s">
        <v>258</v>
      </c>
      <c r="C24" s="8" t="s">
        <v>207</v>
      </c>
    </row>
    <row r="25" ht="15.75" customHeight="1">
      <c r="A25" s="8" t="s">
        <v>184</v>
      </c>
      <c r="B25" s="8" t="s">
        <v>96</v>
      </c>
      <c r="C25" s="8" t="s">
        <v>208</v>
      </c>
    </row>
    <row r="26" ht="15.75" customHeight="1">
      <c r="A26" s="8" t="s">
        <v>212</v>
      </c>
      <c r="B26" s="8" t="s">
        <v>9</v>
      </c>
      <c r="C26" s="8" t="s">
        <v>231</v>
      </c>
    </row>
    <row r="27" ht="15.75" customHeight="1">
      <c r="A27" s="8" t="s">
        <v>212</v>
      </c>
      <c r="B27" s="8" t="s">
        <v>10</v>
      </c>
      <c r="C27" s="8" t="s">
        <v>232</v>
      </c>
    </row>
    <row r="28" ht="15.75" customHeight="1">
      <c r="A28" s="8" t="s">
        <v>212</v>
      </c>
      <c r="B28" s="8" t="s">
        <v>295</v>
      </c>
      <c r="C28" s="8" t="s">
        <v>296</v>
      </c>
    </row>
    <row r="29" ht="15.75" customHeight="1">
      <c r="A29" s="8" t="s">
        <v>212</v>
      </c>
      <c r="B29" s="8" t="s">
        <v>255</v>
      </c>
      <c r="C29" s="8" t="s">
        <v>230</v>
      </c>
    </row>
    <row r="30" ht="15.75" customHeight="1">
      <c r="A30" s="8" t="s">
        <v>212</v>
      </c>
      <c r="B30" s="8" t="s">
        <v>258</v>
      </c>
      <c r="C30" s="8" t="s">
        <v>234</v>
      </c>
    </row>
    <row r="31" ht="15.75" customHeight="1">
      <c r="A31" s="8" t="s">
        <v>212</v>
      </c>
      <c r="B31" s="8" t="s">
        <v>96</v>
      </c>
      <c r="C31" s="8" t="s">
        <v>235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46.0"/>
    <col customWidth="1" min="2" max="2" width="18.0"/>
    <col customWidth="1" min="3" max="3" width="20.0"/>
    <col customWidth="1" min="4" max="4" width="46.0"/>
    <col customWidth="1" min="5" max="5" width="54.0"/>
    <col customWidth="1" min="6" max="6" width="78.0"/>
    <col customWidth="1" min="7" max="26" width="8.71"/>
  </cols>
  <sheetData>
    <row r="1">
      <c r="A1" s="12" t="s">
        <v>371</v>
      </c>
    </row>
    <row r="3">
      <c r="A3" s="2" t="s">
        <v>378</v>
      </c>
      <c r="B3" s="2" t="s">
        <v>382</v>
      </c>
      <c r="C3" s="2" t="s">
        <v>384</v>
      </c>
      <c r="D3" s="2" t="s">
        <v>385</v>
      </c>
      <c r="E3" s="2" t="s">
        <v>386</v>
      </c>
      <c r="F3" s="2" t="s">
        <v>388</v>
      </c>
    </row>
    <row r="4">
      <c r="A4" s="13" t="s">
        <v>389</v>
      </c>
      <c r="B4" s="14">
        <v>20000.0</v>
      </c>
      <c r="C4" s="13" t="s">
        <v>396</v>
      </c>
      <c r="D4" s="13" t="s">
        <v>397</v>
      </c>
      <c r="E4" s="13" t="s">
        <v>399</v>
      </c>
      <c r="F4" s="13" t="s">
        <v>401</v>
      </c>
    </row>
    <row r="5">
      <c r="A5" s="13" t="s">
        <v>404</v>
      </c>
      <c r="B5" s="14" t="s">
        <v>405</v>
      </c>
      <c r="C5" s="13" t="s">
        <v>407</v>
      </c>
      <c r="D5" s="13" t="s">
        <v>409</v>
      </c>
      <c r="E5" s="13" t="s">
        <v>411</v>
      </c>
      <c r="F5" s="13" t="s">
        <v>413</v>
      </c>
    </row>
    <row r="6">
      <c r="A6" s="13" t="s">
        <v>416</v>
      </c>
      <c r="B6" s="14">
        <v>1000.0</v>
      </c>
      <c r="C6" s="13" t="s">
        <v>420</v>
      </c>
      <c r="D6" s="13" t="s">
        <v>421</v>
      </c>
      <c r="E6" s="13" t="s">
        <v>423</v>
      </c>
      <c r="F6" s="13"/>
    </row>
    <row r="7">
      <c r="A7" s="13" t="s">
        <v>427</v>
      </c>
      <c r="B7" s="14">
        <v>2024.0</v>
      </c>
      <c r="C7" s="13" t="s">
        <v>431</v>
      </c>
      <c r="D7" s="13" t="s">
        <v>432</v>
      </c>
      <c r="E7" s="13" t="s">
        <v>434</v>
      </c>
      <c r="F7" s="13" t="s">
        <v>437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8.0"/>
    <col customWidth="1" min="2" max="2" width="22.0"/>
    <col customWidth="1" min="3" max="3" width="30.0"/>
    <col customWidth="1" min="4" max="4" width="22.0"/>
    <col customWidth="1" min="5" max="5" width="34.0"/>
    <col customWidth="1" min="6" max="20" width="11.0"/>
    <col customWidth="1" min="21" max="28" width="13.0"/>
    <col customWidth="1" min="29" max="29" width="62.0"/>
    <col customWidth="1" min="30" max="31" width="8.71"/>
  </cols>
  <sheetData>
    <row r="1">
      <c r="A1" s="2" t="s">
        <v>1</v>
      </c>
      <c r="B1" s="2" t="s">
        <v>457</v>
      </c>
      <c r="C1" s="2" t="s">
        <v>460</v>
      </c>
      <c r="D1" s="2" t="s">
        <v>462</v>
      </c>
      <c r="E1" s="2" t="s">
        <v>463</v>
      </c>
      <c r="F1" s="2" t="s">
        <v>464</v>
      </c>
      <c r="G1" s="2" t="s">
        <v>466</v>
      </c>
      <c r="H1" s="2" t="s">
        <v>469</v>
      </c>
      <c r="I1" s="2" t="s">
        <v>471</v>
      </c>
      <c r="J1" s="2" t="s">
        <v>473</v>
      </c>
      <c r="K1" s="2" t="s">
        <v>475</v>
      </c>
      <c r="L1" s="2" t="s">
        <v>477</v>
      </c>
      <c r="M1" s="2" t="s">
        <v>479</v>
      </c>
      <c r="N1" s="2" t="s">
        <v>482</v>
      </c>
      <c r="O1" s="2" t="s">
        <v>484</v>
      </c>
      <c r="P1" s="2" t="s">
        <v>486</v>
      </c>
      <c r="Q1" s="2" t="s">
        <v>487</v>
      </c>
      <c r="R1" s="2" t="s">
        <v>490</v>
      </c>
      <c r="S1" s="2" t="s">
        <v>491</v>
      </c>
      <c r="T1" s="2" t="s">
        <v>495</v>
      </c>
      <c r="U1" s="2" t="s">
        <v>497</v>
      </c>
      <c r="V1" s="2" t="s">
        <v>502</v>
      </c>
      <c r="W1" s="2" t="s">
        <v>505</v>
      </c>
      <c r="X1" s="2" t="s">
        <v>508</v>
      </c>
      <c r="Y1" s="2" t="s">
        <v>510</v>
      </c>
      <c r="Z1" s="2" t="s">
        <v>513</v>
      </c>
      <c r="AA1" s="2" t="s">
        <v>514</v>
      </c>
      <c r="AB1" s="2" t="s">
        <v>517</v>
      </c>
      <c r="AC1" s="2" t="s">
        <v>519</v>
      </c>
      <c r="AD1" s="2" t="s">
        <v>522</v>
      </c>
      <c r="AE1" s="2" t="s">
        <v>523</v>
      </c>
    </row>
    <row r="2">
      <c r="A2" s="13" t="s">
        <v>128</v>
      </c>
      <c r="B2" s="13" t="s">
        <v>526</v>
      </c>
      <c r="C2" s="13" t="s">
        <v>527</v>
      </c>
      <c r="D2" s="13" t="s">
        <v>528</v>
      </c>
      <c r="E2" s="13" t="s">
        <v>531</v>
      </c>
      <c r="F2" s="15">
        <v>259993.0</v>
      </c>
      <c r="G2" s="15">
        <v>101.0</v>
      </c>
      <c r="H2" s="15"/>
      <c r="I2" s="15">
        <v>70.0</v>
      </c>
      <c r="J2" s="15">
        <v>5.0</v>
      </c>
      <c r="K2" s="15">
        <v>26.0</v>
      </c>
      <c r="L2" s="15">
        <v>4.0</v>
      </c>
      <c r="M2" s="15"/>
      <c r="N2" s="13">
        <v>84.5</v>
      </c>
      <c r="O2" s="13">
        <v>83.8</v>
      </c>
      <c r="P2" s="13">
        <v>240.2</v>
      </c>
      <c r="Q2" s="13">
        <v>38.0</v>
      </c>
      <c r="R2" s="13">
        <v>10.1</v>
      </c>
      <c r="S2" s="13">
        <v>5.9</v>
      </c>
      <c r="T2" s="15">
        <v>51999.0</v>
      </c>
      <c r="U2" s="16">
        <f t="shared" ref="U2:U90" si="1">IF(AND(ISNUMBER(J2),J2&gt;0,ISNUMBER(F2)),F2/J2,"no RHU recorded")</f>
        <v>51998.6</v>
      </c>
      <c r="V2" s="16">
        <f t="shared" ref="V2:V90" si="2">IF(AND(ISNUMBER(T2),ISNUMBER(U2)),U2-T2,"")</f>
        <v>-0.4</v>
      </c>
      <c r="W2" s="16">
        <f>IF(ISNUMBER(F2),ROUND(F2/'05_Assumptions'!$B$4,0),"")</f>
        <v>13</v>
      </c>
      <c r="X2" s="16">
        <f t="shared" ref="X2:X90" si="3">IF(AND(ISNUMBER(W2),ISNUMBER(J2)),MAX(0,W2-J2),"")</f>
        <v>8</v>
      </c>
      <c r="Y2" s="18" t="str">
        <f>IF(NOT(ISNUMBER(J2)),"",IF(J2=0,"no RHU",IF(F2/J2&gt;'05_Assumptions'!$B$4,"Yes","No")))</f>
        <v>Yes</v>
      </c>
      <c r="Z2" s="16">
        <f t="shared" ref="Z2:Z90" si="4">IF(ISNUMBER(H2),H2,IF(AND(ISNUMBER(G2),ISNUMBER(I2)),G2-I2,""))</f>
        <v>31</v>
      </c>
      <c r="AA2" s="19">
        <f t="shared" ref="AA2:AA90" si="5">IF(AND(ISNUMBER(G2),G2&gt;0,ISNUMBER(Z2)),Z2/G2,"")</f>
        <v>0.3069306931</v>
      </c>
      <c r="AB2" s="20" t="str">
        <f>IF(AND(ISNUMBER(F2),F2&gt;0,ISNUMBER(M2)),M2/F2*'05_Assumptions'!$B$6,"")</f>
        <v/>
      </c>
      <c r="AC2" s="13" t="s">
        <v>631</v>
      </c>
      <c r="AD2" s="18">
        <f>IF(ISNUMBER(F2),ROUNDUP(F2/'05_Assumptions'!$B$4,0),"")</f>
        <v>13</v>
      </c>
      <c r="AE2" s="18">
        <f t="shared" ref="AE2:AE90" si="6">IF(AND(ISNUMBER(AD2),ISNUMBER(J2)),MAX(0,AD2-J2),"")</f>
        <v>8</v>
      </c>
    </row>
    <row r="3">
      <c r="A3" s="13" t="s">
        <v>128</v>
      </c>
      <c r="B3" s="13" t="s">
        <v>526</v>
      </c>
      <c r="C3" s="13" t="s">
        <v>648</v>
      </c>
      <c r="D3" s="13" t="s">
        <v>528</v>
      </c>
      <c r="E3" s="13" t="s">
        <v>531</v>
      </c>
      <c r="F3" s="15">
        <v>58377.0</v>
      </c>
      <c r="G3" s="15">
        <v>37.0</v>
      </c>
      <c r="H3" s="15"/>
      <c r="I3" s="15">
        <v>36.0</v>
      </c>
      <c r="J3" s="15">
        <v>1.0</v>
      </c>
      <c r="K3" s="15">
        <v>1.0</v>
      </c>
      <c r="L3" s="15">
        <v>1.0</v>
      </c>
      <c r="M3" s="15"/>
      <c r="N3" s="13">
        <v>111.0</v>
      </c>
      <c r="O3" s="13">
        <v>98.5</v>
      </c>
      <c r="P3" s="13">
        <v>319.6</v>
      </c>
      <c r="Q3" s="13">
        <v>50.6</v>
      </c>
      <c r="R3" s="13">
        <v>7.0</v>
      </c>
      <c r="S3" s="13">
        <v>1.5</v>
      </c>
      <c r="T3" s="15">
        <v>58377.0</v>
      </c>
      <c r="U3" s="16">
        <f t="shared" si="1"/>
        <v>58377</v>
      </c>
      <c r="V3" s="16">
        <f t="shared" si="2"/>
        <v>0</v>
      </c>
      <c r="W3" s="16">
        <f>IF(ISNUMBER(F3),ROUND(F3/'05_Assumptions'!$B$4,0),"")</f>
        <v>3</v>
      </c>
      <c r="X3" s="16">
        <f t="shared" si="3"/>
        <v>2</v>
      </c>
      <c r="Y3" s="18" t="str">
        <f>IF(NOT(ISNUMBER(J3)),"",IF(J3=0,"no RHU",IF(F3/J3&gt;'05_Assumptions'!$B$4,"Yes","No")))</f>
        <v>Yes</v>
      </c>
      <c r="Z3" s="16">
        <f t="shared" si="4"/>
        <v>1</v>
      </c>
      <c r="AA3" s="19">
        <f t="shared" si="5"/>
        <v>0.02702702703</v>
      </c>
      <c r="AB3" s="20" t="str">
        <f>IF(AND(ISNUMBER(F3),F3&gt;0,ISNUMBER(M3)),M3/F3*'05_Assumptions'!$B$6,"")</f>
        <v/>
      </c>
      <c r="AC3" s="13" t="s">
        <v>631</v>
      </c>
      <c r="AD3" s="18">
        <f>IF(ISNUMBER(F3),ROUNDUP(F3/'05_Assumptions'!$B$4,0),"")</f>
        <v>3</v>
      </c>
      <c r="AE3" s="18">
        <f t="shared" si="6"/>
        <v>2</v>
      </c>
    </row>
    <row r="4">
      <c r="A4" s="13" t="s">
        <v>128</v>
      </c>
      <c r="B4" s="13" t="s">
        <v>526</v>
      </c>
      <c r="C4" s="13" t="s">
        <v>694</v>
      </c>
      <c r="D4" s="13" t="s">
        <v>528</v>
      </c>
      <c r="E4" s="13" t="s">
        <v>531</v>
      </c>
      <c r="F4" s="15">
        <v>51081.0</v>
      </c>
      <c r="G4" s="15">
        <v>26.0</v>
      </c>
      <c r="H4" s="15"/>
      <c r="I4" s="15">
        <v>0.0</v>
      </c>
      <c r="J4" s="15">
        <v>1.0</v>
      </c>
      <c r="K4" s="15">
        <v>26.0</v>
      </c>
      <c r="L4" s="15">
        <v>1.0</v>
      </c>
      <c r="M4" s="15"/>
      <c r="N4" s="13">
        <v>89.6</v>
      </c>
      <c r="O4" s="13">
        <v>93.2</v>
      </c>
      <c r="P4" s="13">
        <v>137.9</v>
      </c>
      <c r="Q4" s="13">
        <v>21.8</v>
      </c>
      <c r="R4" s="13">
        <v>0.6</v>
      </c>
      <c r="S4" s="13">
        <v>2.7</v>
      </c>
      <c r="T4" s="15">
        <v>51081.0</v>
      </c>
      <c r="U4" s="16">
        <f t="shared" si="1"/>
        <v>51081</v>
      </c>
      <c r="V4" s="16">
        <f t="shared" si="2"/>
        <v>0</v>
      </c>
      <c r="W4" s="16">
        <f>IF(ISNUMBER(F4),ROUND(F4/'05_Assumptions'!$B$4,0),"")</f>
        <v>3</v>
      </c>
      <c r="X4" s="16">
        <f t="shared" si="3"/>
        <v>2</v>
      </c>
      <c r="Y4" s="18" t="str">
        <f>IF(NOT(ISNUMBER(J4)),"",IF(J4=0,"no RHU",IF(F4/J4&gt;'05_Assumptions'!$B$4,"Yes","No")))</f>
        <v>Yes</v>
      </c>
      <c r="Z4" s="16">
        <f t="shared" si="4"/>
        <v>26</v>
      </c>
      <c r="AA4" s="19">
        <f t="shared" si="5"/>
        <v>1</v>
      </c>
      <c r="AB4" s="20" t="str">
        <f>IF(AND(ISNUMBER(F4),F4&gt;0,ISNUMBER(M4)),M4/F4*'05_Assumptions'!$B$6,"")</f>
        <v/>
      </c>
      <c r="AC4" s="13" t="s">
        <v>631</v>
      </c>
      <c r="AD4" s="18">
        <f>IF(ISNUMBER(F4),ROUNDUP(F4/'05_Assumptions'!$B$4,0),"")</f>
        <v>3</v>
      </c>
      <c r="AE4" s="18">
        <f t="shared" si="6"/>
        <v>2</v>
      </c>
    </row>
    <row r="5">
      <c r="A5" s="13" t="s">
        <v>128</v>
      </c>
      <c r="B5" s="13" t="s">
        <v>526</v>
      </c>
      <c r="C5" s="13" t="s">
        <v>745</v>
      </c>
      <c r="D5" s="13" t="s">
        <v>528</v>
      </c>
      <c r="E5" s="13" t="s">
        <v>531</v>
      </c>
      <c r="F5" s="15">
        <v>50959.0</v>
      </c>
      <c r="G5" s="15">
        <v>38.0</v>
      </c>
      <c r="H5" s="15"/>
      <c r="I5" s="15">
        <v>36.0</v>
      </c>
      <c r="J5" s="15">
        <v>1.0</v>
      </c>
      <c r="K5" s="15">
        <v>2.0</v>
      </c>
      <c r="L5" s="15">
        <v>0.0</v>
      </c>
      <c r="M5" s="15"/>
      <c r="N5" s="13">
        <v>95.8</v>
      </c>
      <c r="O5" s="13">
        <v>99.9</v>
      </c>
      <c r="P5" s="13">
        <v>104.5</v>
      </c>
      <c r="Q5" s="13">
        <v>16.5</v>
      </c>
      <c r="R5" s="13">
        <v>10.4</v>
      </c>
      <c r="S5" s="13">
        <v>3.4</v>
      </c>
      <c r="T5" s="15">
        <v>50959.0</v>
      </c>
      <c r="U5" s="16">
        <f t="shared" si="1"/>
        <v>50959</v>
      </c>
      <c r="V5" s="16">
        <f t="shared" si="2"/>
        <v>0</v>
      </c>
      <c r="W5" s="16">
        <f>IF(ISNUMBER(F5),ROUND(F5/'05_Assumptions'!$B$4,0),"")</f>
        <v>3</v>
      </c>
      <c r="X5" s="16">
        <f t="shared" si="3"/>
        <v>2</v>
      </c>
      <c r="Y5" s="18" t="str">
        <f>IF(NOT(ISNUMBER(J5)),"",IF(J5=0,"no RHU",IF(F5/J5&gt;'05_Assumptions'!$B$4,"Yes","No")))</f>
        <v>Yes</v>
      </c>
      <c r="Z5" s="16">
        <f t="shared" si="4"/>
        <v>2</v>
      </c>
      <c r="AA5" s="19">
        <f t="shared" si="5"/>
        <v>0.05263157895</v>
      </c>
      <c r="AB5" s="20" t="str">
        <f>IF(AND(ISNUMBER(F5),F5&gt;0,ISNUMBER(M5)),M5/F5*'05_Assumptions'!$B$6,"")</f>
        <v/>
      </c>
      <c r="AC5" s="13" t="s">
        <v>631</v>
      </c>
      <c r="AD5" s="18">
        <f>IF(ISNUMBER(F5),ROUNDUP(F5/'05_Assumptions'!$B$4,0),"")</f>
        <v>3</v>
      </c>
      <c r="AE5" s="18">
        <f t="shared" si="6"/>
        <v>2</v>
      </c>
    </row>
    <row r="6">
      <c r="A6" s="13" t="s">
        <v>128</v>
      </c>
      <c r="B6" s="13" t="s">
        <v>526</v>
      </c>
      <c r="C6" s="13" t="s">
        <v>770</v>
      </c>
      <c r="D6" s="13" t="s">
        <v>528</v>
      </c>
      <c r="E6" s="13" t="s">
        <v>531</v>
      </c>
      <c r="F6" s="15">
        <v>46233.0</v>
      </c>
      <c r="G6" s="15">
        <v>34.0</v>
      </c>
      <c r="H6" s="15"/>
      <c r="I6" s="15">
        <v>29.0</v>
      </c>
      <c r="J6" s="15">
        <v>1.0</v>
      </c>
      <c r="K6" s="15">
        <v>5.0</v>
      </c>
      <c r="L6" s="15">
        <v>1.0</v>
      </c>
      <c r="M6" s="15"/>
      <c r="N6" s="13">
        <v>89.0</v>
      </c>
      <c r="O6" s="13">
        <v>88.4</v>
      </c>
      <c r="P6" s="13">
        <v>234.3</v>
      </c>
      <c r="Q6" s="13">
        <v>37.1</v>
      </c>
      <c r="R6" s="13">
        <v>3.7</v>
      </c>
      <c r="S6" s="13">
        <v>2.8</v>
      </c>
      <c r="T6" s="15">
        <v>46233.0</v>
      </c>
      <c r="U6" s="16">
        <f t="shared" si="1"/>
        <v>46233</v>
      </c>
      <c r="V6" s="16">
        <f t="shared" si="2"/>
        <v>0</v>
      </c>
      <c r="W6" s="16">
        <f>IF(ISNUMBER(F6),ROUND(F6/'05_Assumptions'!$B$4,0),"")</f>
        <v>2</v>
      </c>
      <c r="X6" s="16">
        <f t="shared" si="3"/>
        <v>1</v>
      </c>
      <c r="Y6" s="18" t="str">
        <f>IF(NOT(ISNUMBER(J6)),"",IF(J6=0,"no RHU",IF(F6/J6&gt;'05_Assumptions'!$B$4,"Yes","No")))</f>
        <v>Yes</v>
      </c>
      <c r="Z6" s="16">
        <f t="shared" si="4"/>
        <v>5</v>
      </c>
      <c r="AA6" s="19">
        <f t="shared" si="5"/>
        <v>0.1470588235</v>
      </c>
      <c r="AB6" s="20" t="str">
        <f>IF(AND(ISNUMBER(F6),F6&gt;0,ISNUMBER(M6)),M6/F6*'05_Assumptions'!$B$6,"")</f>
        <v/>
      </c>
      <c r="AC6" s="13" t="s">
        <v>631</v>
      </c>
      <c r="AD6" s="18">
        <f>IF(ISNUMBER(F6),ROUNDUP(F6/'05_Assumptions'!$B$4,0),"")</f>
        <v>3</v>
      </c>
      <c r="AE6" s="18">
        <f t="shared" si="6"/>
        <v>2</v>
      </c>
    </row>
    <row r="7">
      <c r="A7" s="13" t="s">
        <v>128</v>
      </c>
      <c r="B7" s="13" t="s">
        <v>526</v>
      </c>
      <c r="C7" s="13" t="s">
        <v>797</v>
      </c>
      <c r="D7" s="13" t="s">
        <v>528</v>
      </c>
      <c r="E7" s="13" t="s">
        <v>531</v>
      </c>
      <c r="F7" s="15">
        <v>40558.0</v>
      </c>
      <c r="G7" s="15">
        <v>37.0</v>
      </c>
      <c r="H7" s="15"/>
      <c r="I7" s="15">
        <v>33.0</v>
      </c>
      <c r="J7" s="15">
        <v>1.0</v>
      </c>
      <c r="K7" s="15">
        <v>4.0</v>
      </c>
      <c r="L7" s="15">
        <v>0.0</v>
      </c>
      <c r="M7" s="15"/>
      <c r="N7" s="13">
        <v>89.1</v>
      </c>
      <c r="O7" s="13">
        <v>65.7</v>
      </c>
      <c r="P7" s="13">
        <v>131.2</v>
      </c>
      <c r="Q7" s="13">
        <v>20.8</v>
      </c>
      <c r="R7" s="13">
        <v>2.2</v>
      </c>
      <c r="S7" s="13">
        <v>10.5</v>
      </c>
      <c r="T7" s="15">
        <v>40558.0</v>
      </c>
      <c r="U7" s="16">
        <f t="shared" si="1"/>
        <v>40558</v>
      </c>
      <c r="V7" s="16">
        <f t="shared" si="2"/>
        <v>0</v>
      </c>
      <c r="W7" s="16">
        <f>IF(ISNUMBER(F7),ROUND(F7/'05_Assumptions'!$B$4,0),"")</f>
        <v>2</v>
      </c>
      <c r="X7" s="16">
        <f t="shared" si="3"/>
        <v>1</v>
      </c>
      <c r="Y7" s="18" t="str">
        <f>IF(NOT(ISNUMBER(J7)),"",IF(J7=0,"no RHU",IF(F7/J7&gt;'05_Assumptions'!$B$4,"Yes","No")))</f>
        <v>Yes</v>
      </c>
      <c r="Z7" s="16">
        <f t="shared" si="4"/>
        <v>4</v>
      </c>
      <c r="AA7" s="19">
        <f t="shared" si="5"/>
        <v>0.1081081081</v>
      </c>
      <c r="AB7" s="20" t="str">
        <f>IF(AND(ISNUMBER(F7),F7&gt;0,ISNUMBER(M7)),M7/F7*'05_Assumptions'!$B$6,"")</f>
        <v/>
      </c>
      <c r="AC7" s="13" t="s">
        <v>631</v>
      </c>
      <c r="AD7" s="18">
        <f>IF(ISNUMBER(F7),ROUNDUP(F7/'05_Assumptions'!$B$4,0),"")</f>
        <v>3</v>
      </c>
      <c r="AE7" s="18">
        <f t="shared" si="6"/>
        <v>2</v>
      </c>
    </row>
    <row r="8">
      <c r="A8" s="13" t="s">
        <v>128</v>
      </c>
      <c r="B8" s="13" t="s">
        <v>526</v>
      </c>
      <c r="C8" s="13" t="s">
        <v>823</v>
      </c>
      <c r="D8" s="13" t="s">
        <v>528</v>
      </c>
      <c r="E8" s="13" t="s">
        <v>531</v>
      </c>
      <c r="F8" s="15">
        <v>40047.0</v>
      </c>
      <c r="G8" s="15">
        <v>38.0</v>
      </c>
      <c r="H8" s="15"/>
      <c r="I8" s="15">
        <v>30.0</v>
      </c>
      <c r="J8" s="15">
        <v>1.0</v>
      </c>
      <c r="K8" s="15">
        <v>8.0</v>
      </c>
      <c r="L8" s="15">
        <v>1.0</v>
      </c>
      <c r="M8" s="15"/>
      <c r="N8" s="13">
        <v>35.8</v>
      </c>
      <c r="O8" s="13">
        <v>85.1</v>
      </c>
      <c r="P8" s="13">
        <v>111.4</v>
      </c>
      <c r="Q8" s="13">
        <v>17.6</v>
      </c>
      <c r="R8" s="13">
        <v>0.2</v>
      </c>
      <c r="S8" s="13">
        <v>4.1</v>
      </c>
      <c r="T8" s="15">
        <v>40047.0</v>
      </c>
      <c r="U8" s="16">
        <f t="shared" si="1"/>
        <v>40047</v>
      </c>
      <c r="V8" s="16">
        <f t="shared" si="2"/>
        <v>0</v>
      </c>
      <c r="W8" s="16">
        <f>IF(ISNUMBER(F8),ROUND(F8/'05_Assumptions'!$B$4,0),"")</f>
        <v>2</v>
      </c>
      <c r="X8" s="16">
        <f t="shared" si="3"/>
        <v>1</v>
      </c>
      <c r="Y8" s="18" t="str">
        <f>IF(NOT(ISNUMBER(J8)),"",IF(J8=0,"no RHU",IF(F8/J8&gt;'05_Assumptions'!$B$4,"Yes","No")))</f>
        <v>Yes</v>
      </c>
      <c r="Z8" s="16">
        <f t="shared" si="4"/>
        <v>8</v>
      </c>
      <c r="AA8" s="19">
        <f t="shared" si="5"/>
        <v>0.2105263158</v>
      </c>
      <c r="AB8" s="20" t="str">
        <f>IF(AND(ISNUMBER(F8),F8&gt;0,ISNUMBER(M8)),M8/F8*'05_Assumptions'!$B$6,"")</f>
        <v/>
      </c>
      <c r="AC8" s="13" t="s">
        <v>631</v>
      </c>
      <c r="AD8" s="18">
        <f>IF(ISNUMBER(F8),ROUNDUP(F8/'05_Assumptions'!$B$4,0),"")</f>
        <v>3</v>
      </c>
      <c r="AE8" s="18">
        <f t="shared" si="6"/>
        <v>2</v>
      </c>
    </row>
    <row r="9">
      <c r="A9" s="13" t="s">
        <v>128</v>
      </c>
      <c r="B9" s="13" t="s">
        <v>526</v>
      </c>
      <c r="C9" s="13" t="s">
        <v>870</v>
      </c>
      <c r="D9" s="13" t="s">
        <v>528</v>
      </c>
      <c r="E9" s="13" t="s">
        <v>531</v>
      </c>
      <c r="F9" s="15">
        <v>37292.0</v>
      </c>
      <c r="G9" s="15">
        <v>34.0</v>
      </c>
      <c r="H9" s="15"/>
      <c r="I9" s="15">
        <v>32.0</v>
      </c>
      <c r="J9" s="15">
        <v>1.0</v>
      </c>
      <c r="K9" s="15">
        <v>2.0</v>
      </c>
      <c r="L9" s="15">
        <v>0.0</v>
      </c>
      <c r="M9" s="15"/>
      <c r="N9" s="13">
        <v>26.2</v>
      </c>
      <c r="O9" s="13">
        <v>83.8</v>
      </c>
      <c r="P9" s="13">
        <v>100.2</v>
      </c>
      <c r="Q9" s="13">
        <v>15.9</v>
      </c>
      <c r="R9" s="13">
        <v>1.3</v>
      </c>
      <c r="S9" s="13">
        <v>1.4</v>
      </c>
      <c r="T9" s="15">
        <v>37292.0</v>
      </c>
      <c r="U9" s="16">
        <f t="shared" si="1"/>
        <v>37292</v>
      </c>
      <c r="V9" s="16">
        <f t="shared" si="2"/>
        <v>0</v>
      </c>
      <c r="W9" s="16">
        <f>IF(ISNUMBER(F9),ROUND(F9/'05_Assumptions'!$B$4,0),"")</f>
        <v>2</v>
      </c>
      <c r="X9" s="16">
        <f t="shared" si="3"/>
        <v>1</v>
      </c>
      <c r="Y9" s="18" t="str">
        <f>IF(NOT(ISNUMBER(J9)),"",IF(J9=0,"no RHU",IF(F9/J9&gt;'05_Assumptions'!$B$4,"Yes","No")))</f>
        <v>Yes</v>
      </c>
      <c r="Z9" s="16">
        <f t="shared" si="4"/>
        <v>2</v>
      </c>
      <c r="AA9" s="19">
        <f t="shared" si="5"/>
        <v>0.05882352941</v>
      </c>
      <c r="AB9" s="20" t="str">
        <f>IF(AND(ISNUMBER(F9),F9&gt;0,ISNUMBER(M9)),M9/F9*'05_Assumptions'!$B$6,"")</f>
        <v/>
      </c>
      <c r="AC9" s="13" t="s">
        <v>631</v>
      </c>
      <c r="AD9" s="18">
        <f>IF(ISNUMBER(F9),ROUNDUP(F9/'05_Assumptions'!$B$4,0),"")</f>
        <v>2</v>
      </c>
      <c r="AE9" s="18">
        <f t="shared" si="6"/>
        <v>1</v>
      </c>
    </row>
    <row r="10">
      <c r="A10" s="13" t="s">
        <v>128</v>
      </c>
      <c r="B10" s="13" t="s">
        <v>526</v>
      </c>
      <c r="C10" s="13" t="s">
        <v>908</v>
      </c>
      <c r="D10" s="13" t="s">
        <v>528</v>
      </c>
      <c r="E10" s="13" t="s">
        <v>531</v>
      </c>
      <c r="F10" s="15">
        <v>37190.0</v>
      </c>
      <c r="G10" s="15">
        <v>44.0</v>
      </c>
      <c r="H10" s="15"/>
      <c r="I10" s="15">
        <v>44.0</v>
      </c>
      <c r="J10" s="15">
        <v>1.0</v>
      </c>
      <c r="K10" s="15">
        <v>0.0</v>
      </c>
      <c r="L10" s="15">
        <v>2.0</v>
      </c>
      <c r="M10" s="15"/>
      <c r="N10" s="13">
        <v>98.4</v>
      </c>
      <c r="O10" s="13">
        <v>95.2</v>
      </c>
      <c r="P10" s="13">
        <v>139.2</v>
      </c>
      <c r="Q10" s="13">
        <v>22.0</v>
      </c>
      <c r="R10" s="13">
        <v>0.2</v>
      </c>
      <c r="S10" s="13">
        <v>0.6</v>
      </c>
      <c r="T10" s="15">
        <v>37190.0</v>
      </c>
      <c r="U10" s="16">
        <f t="shared" si="1"/>
        <v>37190</v>
      </c>
      <c r="V10" s="16">
        <f t="shared" si="2"/>
        <v>0</v>
      </c>
      <c r="W10" s="16">
        <f>IF(ISNUMBER(F10),ROUND(F10/'05_Assumptions'!$B$4,0),"")</f>
        <v>2</v>
      </c>
      <c r="X10" s="16">
        <f t="shared" si="3"/>
        <v>1</v>
      </c>
      <c r="Y10" s="18" t="str">
        <f>IF(NOT(ISNUMBER(J10)),"",IF(J10=0,"no RHU",IF(F10/J10&gt;'05_Assumptions'!$B$4,"Yes","No")))</f>
        <v>Yes</v>
      </c>
      <c r="Z10" s="16">
        <f t="shared" si="4"/>
        <v>0</v>
      </c>
      <c r="AA10" s="19">
        <f t="shared" si="5"/>
        <v>0</v>
      </c>
      <c r="AB10" s="20" t="str">
        <f>IF(AND(ISNUMBER(F10),F10&gt;0,ISNUMBER(M10)),M10/F10*'05_Assumptions'!$B$6,"")</f>
        <v/>
      </c>
      <c r="AC10" s="13" t="s">
        <v>631</v>
      </c>
      <c r="AD10" s="18">
        <f>IF(ISNUMBER(F10),ROUNDUP(F10/'05_Assumptions'!$B$4,0),"")</f>
        <v>2</v>
      </c>
      <c r="AE10" s="18">
        <f t="shared" si="6"/>
        <v>1</v>
      </c>
    </row>
    <row r="11">
      <c r="A11" s="13" t="s">
        <v>128</v>
      </c>
      <c r="B11" s="13" t="s">
        <v>526</v>
      </c>
      <c r="C11" s="13" t="s">
        <v>934</v>
      </c>
      <c r="D11" s="13" t="s">
        <v>528</v>
      </c>
      <c r="E11" s="13" t="s">
        <v>531</v>
      </c>
      <c r="F11" s="15">
        <v>36803.0</v>
      </c>
      <c r="G11" s="15">
        <v>35.0</v>
      </c>
      <c r="H11" s="15"/>
      <c r="I11" s="15">
        <v>32.0</v>
      </c>
      <c r="J11" s="15">
        <v>1.0</v>
      </c>
      <c r="K11" s="15">
        <v>3.0</v>
      </c>
      <c r="L11" s="15">
        <v>0.0</v>
      </c>
      <c r="M11" s="15"/>
      <c r="N11" s="13">
        <v>101.4</v>
      </c>
      <c r="O11" s="13"/>
      <c r="P11" s="13">
        <v>105.3</v>
      </c>
      <c r="Q11" s="13">
        <v>16.7</v>
      </c>
      <c r="R11" s="13">
        <v>2.5</v>
      </c>
      <c r="S11" s="13">
        <v>0.3</v>
      </c>
      <c r="T11" s="15">
        <v>36803.0</v>
      </c>
      <c r="U11" s="16">
        <f t="shared" si="1"/>
        <v>36803</v>
      </c>
      <c r="V11" s="16">
        <f t="shared" si="2"/>
        <v>0</v>
      </c>
      <c r="W11" s="16">
        <f>IF(ISNUMBER(F11),ROUND(F11/'05_Assumptions'!$B$4,0),"")</f>
        <v>2</v>
      </c>
      <c r="X11" s="16">
        <f t="shared" si="3"/>
        <v>1</v>
      </c>
      <c r="Y11" s="18" t="str">
        <f>IF(NOT(ISNUMBER(J11)),"",IF(J11=0,"no RHU",IF(F11/J11&gt;'05_Assumptions'!$B$4,"Yes","No")))</f>
        <v>Yes</v>
      </c>
      <c r="Z11" s="16">
        <f t="shared" si="4"/>
        <v>3</v>
      </c>
      <c r="AA11" s="19">
        <f t="shared" si="5"/>
        <v>0.08571428571</v>
      </c>
      <c r="AB11" s="20" t="str">
        <f>IF(AND(ISNUMBER(F11),F11&gt;0,ISNUMBER(M11)),M11/F11*'05_Assumptions'!$B$6,"")</f>
        <v/>
      </c>
      <c r="AC11" s="13" t="s">
        <v>631</v>
      </c>
      <c r="AD11" s="18">
        <f>IF(ISNUMBER(F11),ROUNDUP(F11/'05_Assumptions'!$B$4,0),"")</f>
        <v>2</v>
      </c>
      <c r="AE11" s="18">
        <f t="shared" si="6"/>
        <v>1</v>
      </c>
    </row>
    <row r="12">
      <c r="A12" s="13" t="s">
        <v>128</v>
      </c>
      <c r="B12" s="13" t="s">
        <v>526</v>
      </c>
      <c r="C12" s="13" t="s">
        <v>946</v>
      </c>
      <c r="D12" s="13" t="s">
        <v>528</v>
      </c>
      <c r="E12" s="13" t="s">
        <v>531</v>
      </c>
      <c r="F12" s="15">
        <v>33897.0</v>
      </c>
      <c r="G12" s="15">
        <v>32.0</v>
      </c>
      <c r="H12" s="15"/>
      <c r="I12" s="15">
        <v>32.0</v>
      </c>
      <c r="J12" s="15">
        <v>1.0</v>
      </c>
      <c r="K12" s="15">
        <v>0.0</v>
      </c>
      <c r="L12" s="15">
        <v>0.0</v>
      </c>
      <c r="M12" s="15"/>
      <c r="N12" s="13">
        <v>6.6</v>
      </c>
      <c r="O12" s="13">
        <v>72.0</v>
      </c>
      <c r="P12" s="13">
        <v>72.5</v>
      </c>
      <c r="Q12" s="13">
        <v>11.5</v>
      </c>
      <c r="R12" s="13">
        <v>0.8</v>
      </c>
      <c r="S12" s="13">
        <v>5.1</v>
      </c>
      <c r="T12" s="15">
        <v>33897.0</v>
      </c>
      <c r="U12" s="16">
        <f t="shared" si="1"/>
        <v>33897</v>
      </c>
      <c r="V12" s="16">
        <f t="shared" si="2"/>
        <v>0</v>
      </c>
      <c r="W12" s="16">
        <f>IF(ISNUMBER(F12),ROUND(F12/'05_Assumptions'!$B$4,0),"")</f>
        <v>2</v>
      </c>
      <c r="X12" s="16">
        <f t="shared" si="3"/>
        <v>1</v>
      </c>
      <c r="Y12" s="18" t="str">
        <f>IF(NOT(ISNUMBER(J12)),"",IF(J12=0,"no RHU",IF(F12/J12&gt;'05_Assumptions'!$B$4,"Yes","No")))</f>
        <v>Yes</v>
      </c>
      <c r="Z12" s="16">
        <f t="shared" si="4"/>
        <v>0</v>
      </c>
      <c r="AA12" s="19">
        <f t="shared" si="5"/>
        <v>0</v>
      </c>
      <c r="AB12" s="20" t="str">
        <f>IF(AND(ISNUMBER(F12),F12&gt;0,ISNUMBER(M12)),M12/F12*'05_Assumptions'!$B$6,"")</f>
        <v/>
      </c>
      <c r="AC12" s="13" t="s">
        <v>631</v>
      </c>
      <c r="AD12" s="18">
        <f>IF(ISNUMBER(F12),ROUNDUP(F12/'05_Assumptions'!$B$4,0),"")</f>
        <v>2</v>
      </c>
      <c r="AE12" s="18">
        <f t="shared" si="6"/>
        <v>1</v>
      </c>
    </row>
    <row r="13">
      <c r="A13" s="13" t="s">
        <v>128</v>
      </c>
      <c r="B13" s="13" t="s">
        <v>526</v>
      </c>
      <c r="C13" s="13" t="s">
        <v>963</v>
      </c>
      <c r="D13" s="13" t="s">
        <v>528</v>
      </c>
      <c r="E13" s="13" t="s">
        <v>531</v>
      </c>
      <c r="F13" s="15">
        <v>33595.0</v>
      </c>
      <c r="G13" s="15">
        <v>24.0</v>
      </c>
      <c r="H13" s="15"/>
      <c r="I13" s="15">
        <v>19.0</v>
      </c>
      <c r="J13" s="15">
        <v>1.0</v>
      </c>
      <c r="K13" s="15">
        <v>5.0</v>
      </c>
      <c r="L13" s="15">
        <v>0.0</v>
      </c>
      <c r="M13" s="15"/>
      <c r="N13" s="13">
        <v>81.0</v>
      </c>
      <c r="O13" s="13">
        <v>91.4</v>
      </c>
      <c r="P13" s="13">
        <v>222.4</v>
      </c>
      <c r="Q13" s="13">
        <v>35.2</v>
      </c>
      <c r="R13" s="13">
        <v>0.4</v>
      </c>
      <c r="S13" s="13">
        <v>0.9</v>
      </c>
      <c r="T13" s="15">
        <v>33595.0</v>
      </c>
      <c r="U13" s="16">
        <f t="shared" si="1"/>
        <v>33595</v>
      </c>
      <c r="V13" s="16">
        <f t="shared" si="2"/>
        <v>0</v>
      </c>
      <c r="W13" s="16">
        <f>IF(ISNUMBER(F13),ROUND(F13/'05_Assumptions'!$B$4,0),"")</f>
        <v>2</v>
      </c>
      <c r="X13" s="16">
        <f t="shared" si="3"/>
        <v>1</v>
      </c>
      <c r="Y13" s="18" t="str">
        <f>IF(NOT(ISNUMBER(J13)),"",IF(J13=0,"no RHU",IF(F13/J13&gt;'05_Assumptions'!$B$4,"Yes","No")))</f>
        <v>Yes</v>
      </c>
      <c r="Z13" s="16">
        <f t="shared" si="4"/>
        <v>5</v>
      </c>
      <c r="AA13" s="19">
        <f t="shared" si="5"/>
        <v>0.2083333333</v>
      </c>
      <c r="AB13" s="20" t="str">
        <f>IF(AND(ISNUMBER(F13),F13&gt;0,ISNUMBER(M13)),M13/F13*'05_Assumptions'!$B$6,"")</f>
        <v/>
      </c>
      <c r="AC13" s="13" t="s">
        <v>631</v>
      </c>
      <c r="AD13" s="18">
        <f>IF(ISNUMBER(F13),ROUNDUP(F13/'05_Assumptions'!$B$4,0),"")</f>
        <v>2</v>
      </c>
      <c r="AE13" s="18">
        <f t="shared" si="6"/>
        <v>1</v>
      </c>
    </row>
    <row r="14">
      <c r="A14" s="13" t="s">
        <v>128</v>
      </c>
      <c r="B14" s="13" t="s">
        <v>526</v>
      </c>
      <c r="C14" s="13" t="s">
        <v>994</v>
      </c>
      <c r="D14" s="13" t="s">
        <v>528</v>
      </c>
      <c r="E14" s="13" t="s">
        <v>531</v>
      </c>
      <c r="F14" s="15">
        <v>33307.0</v>
      </c>
      <c r="G14" s="15">
        <v>25.0</v>
      </c>
      <c r="H14" s="15"/>
      <c r="I14" s="15">
        <v>23.0</v>
      </c>
      <c r="J14" s="15">
        <v>1.0</v>
      </c>
      <c r="K14" s="15">
        <v>2.0</v>
      </c>
      <c r="L14" s="15">
        <v>0.0</v>
      </c>
      <c r="M14" s="15"/>
      <c r="N14" s="13">
        <v>39.9</v>
      </c>
      <c r="O14" s="13">
        <v>97.0</v>
      </c>
      <c r="P14" s="13">
        <v>110.6</v>
      </c>
      <c r="Q14" s="13">
        <v>17.5</v>
      </c>
      <c r="R14" s="13">
        <v>24.7</v>
      </c>
      <c r="S14" s="13">
        <v>1.1</v>
      </c>
      <c r="T14" s="15">
        <v>33307.0</v>
      </c>
      <c r="U14" s="16">
        <f t="shared" si="1"/>
        <v>33307</v>
      </c>
      <c r="V14" s="16">
        <f t="shared" si="2"/>
        <v>0</v>
      </c>
      <c r="W14" s="16">
        <f>IF(ISNUMBER(F14),ROUND(F14/'05_Assumptions'!$B$4,0),"")</f>
        <v>2</v>
      </c>
      <c r="X14" s="16">
        <f t="shared" si="3"/>
        <v>1</v>
      </c>
      <c r="Y14" s="18" t="str">
        <f>IF(NOT(ISNUMBER(J14)),"",IF(J14=0,"no RHU",IF(F14/J14&gt;'05_Assumptions'!$B$4,"Yes","No")))</f>
        <v>Yes</v>
      </c>
      <c r="Z14" s="16">
        <f t="shared" si="4"/>
        <v>2</v>
      </c>
      <c r="AA14" s="19">
        <f t="shared" si="5"/>
        <v>0.08</v>
      </c>
      <c r="AB14" s="20" t="str">
        <f>IF(AND(ISNUMBER(F14),F14&gt;0,ISNUMBER(M14)),M14/F14*'05_Assumptions'!$B$6,"")</f>
        <v/>
      </c>
      <c r="AC14" s="13" t="s">
        <v>631</v>
      </c>
      <c r="AD14" s="18">
        <f>IF(ISNUMBER(F14),ROUNDUP(F14/'05_Assumptions'!$B$4,0),"")</f>
        <v>2</v>
      </c>
      <c r="AE14" s="18">
        <f t="shared" si="6"/>
        <v>1</v>
      </c>
    </row>
    <row r="15">
      <c r="A15" s="13" t="s">
        <v>128</v>
      </c>
      <c r="B15" s="13" t="s">
        <v>526</v>
      </c>
      <c r="C15" s="13" t="s">
        <v>1019</v>
      </c>
      <c r="D15" s="13" t="s">
        <v>528</v>
      </c>
      <c r="E15" s="13" t="s">
        <v>531</v>
      </c>
      <c r="F15" s="15">
        <v>31227.0</v>
      </c>
      <c r="G15" s="15">
        <v>27.0</v>
      </c>
      <c r="H15" s="15"/>
      <c r="I15" s="15">
        <v>24.0</v>
      </c>
      <c r="J15" s="15">
        <v>1.0</v>
      </c>
      <c r="K15" s="15">
        <v>3.0</v>
      </c>
      <c r="L15" s="15">
        <v>0.0</v>
      </c>
      <c r="M15" s="15"/>
      <c r="N15" s="13">
        <v>56.6</v>
      </c>
      <c r="O15" s="13">
        <v>96.1</v>
      </c>
      <c r="P15" s="13">
        <v>356.9</v>
      </c>
      <c r="Q15" s="13">
        <v>56.5</v>
      </c>
      <c r="R15" s="13">
        <v>1.2</v>
      </c>
      <c r="S15" s="13">
        <v>28.1</v>
      </c>
      <c r="T15" s="15">
        <v>31227.0</v>
      </c>
      <c r="U15" s="16">
        <f t="shared" si="1"/>
        <v>31227</v>
      </c>
      <c r="V15" s="16">
        <f t="shared" si="2"/>
        <v>0</v>
      </c>
      <c r="W15" s="16">
        <f>IF(ISNUMBER(F15),ROUND(F15/'05_Assumptions'!$B$4,0),"")</f>
        <v>2</v>
      </c>
      <c r="X15" s="16">
        <f t="shared" si="3"/>
        <v>1</v>
      </c>
      <c r="Y15" s="18" t="str">
        <f>IF(NOT(ISNUMBER(J15)),"",IF(J15=0,"no RHU",IF(F15/J15&gt;'05_Assumptions'!$B$4,"Yes","No")))</f>
        <v>Yes</v>
      </c>
      <c r="Z15" s="16">
        <f t="shared" si="4"/>
        <v>3</v>
      </c>
      <c r="AA15" s="19">
        <f t="shared" si="5"/>
        <v>0.1111111111</v>
      </c>
      <c r="AB15" s="20" t="str">
        <f>IF(AND(ISNUMBER(F15),F15&gt;0,ISNUMBER(M15)),M15/F15*'05_Assumptions'!$B$6,"")</f>
        <v/>
      </c>
      <c r="AC15" s="13" t="s">
        <v>631</v>
      </c>
      <c r="AD15" s="18">
        <f>IF(ISNUMBER(F15),ROUNDUP(F15/'05_Assumptions'!$B$4,0),"")</f>
        <v>2</v>
      </c>
      <c r="AE15" s="18">
        <f t="shared" si="6"/>
        <v>1</v>
      </c>
    </row>
    <row r="16">
      <c r="A16" s="13" t="s">
        <v>128</v>
      </c>
      <c r="B16" s="13" t="s">
        <v>526</v>
      </c>
      <c r="C16" s="13" t="s">
        <v>1036</v>
      </c>
      <c r="D16" s="13" t="s">
        <v>528</v>
      </c>
      <c r="E16" s="13" t="s">
        <v>531</v>
      </c>
      <c r="F16" s="15">
        <v>30227.0</v>
      </c>
      <c r="G16" s="15">
        <v>49.0</v>
      </c>
      <c r="H16" s="15"/>
      <c r="I16" s="15">
        <v>46.0</v>
      </c>
      <c r="J16" s="15">
        <v>1.0</v>
      </c>
      <c r="K16" s="15">
        <v>3.0</v>
      </c>
      <c r="L16" s="15">
        <v>0.0</v>
      </c>
      <c r="M16" s="15"/>
      <c r="N16" s="13">
        <v>81.0</v>
      </c>
      <c r="O16" s="13">
        <v>0.0</v>
      </c>
      <c r="P16" s="13">
        <v>36.6</v>
      </c>
      <c r="Q16" s="13">
        <v>5.8</v>
      </c>
      <c r="R16" s="13">
        <v>2.2</v>
      </c>
      <c r="S16" s="13">
        <v>0.5</v>
      </c>
      <c r="T16" s="15">
        <v>30227.0</v>
      </c>
      <c r="U16" s="16">
        <f t="shared" si="1"/>
        <v>30227</v>
      </c>
      <c r="V16" s="16">
        <f t="shared" si="2"/>
        <v>0</v>
      </c>
      <c r="W16" s="16">
        <f>IF(ISNUMBER(F16),ROUND(F16/'05_Assumptions'!$B$4,0),"")</f>
        <v>2</v>
      </c>
      <c r="X16" s="16">
        <f t="shared" si="3"/>
        <v>1</v>
      </c>
      <c r="Y16" s="18" t="str">
        <f>IF(NOT(ISNUMBER(J16)),"",IF(J16=0,"no RHU",IF(F16/J16&gt;'05_Assumptions'!$B$4,"Yes","No")))</f>
        <v>Yes</v>
      </c>
      <c r="Z16" s="16">
        <f t="shared" si="4"/>
        <v>3</v>
      </c>
      <c r="AA16" s="19">
        <f t="shared" si="5"/>
        <v>0.0612244898</v>
      </c>
      <c r="AB16" s="20" t="str">
        <f>IF(AND(ISNUMBER(F16),F16&gt;0,ISNUMBER(M16)),M16/F16*'05_Assumptions'!$B$6,"")</f>
        <v/>
      </c>
      <c r="AC16" s="13" t="s">
        <v>631</v>
      </c>
      <c r="AD16" s="18">
        <f>IF(ISNUMBER(F16),ROUNDUP(F16/'05_Assumptions'!$B$4,0),"")</f>
        <v>2</v>
      </c>
      <c r="AE16" s="18">
        <f t="shared" si="6"/>
        <v>1</v>
      </c>
    </row>
    <row r="17">
      <c r="A17" s="13" t="s">
        <v>128</v>
      </c>
      <c r="B17" s="13" t="s">
        <v>526</v>
      </c>
      <c r="C17" s="13" t="s">
        <v>1047</v>
      </c>
      <c r="D17" s="13" t="s">
        <v>528</v>
      </c>
      <c r="E17" s="13" t="s">
        <v>531</v>
      </c>
      <c r="F17" s="15">
        <v>30044.0</v>
      </c>
      <c r="G17" s="15">
        <v>37.0</v>
      </c>
      <c r="H17" s="15"/>
      <c r="I17" s="15">
        <v>36.0</v>
      </c>
      <c r="J17" s="15">
        <v>1.0</v>
      </c>
      <c r="K17" s="15">
        <v>1.0</v>
      </c>
      <c r="L17" s="15">
        <v>0.0</v>
      </c>
      <c r="M17" s="15"/>
      <c r="N17" s="13">
        <v>74.9</v>
      </c>
      <c r="O17" s="13"/>
      <c r="P17" s="13">
        <v>72.2</v>
      </c>
      <c r="Q17" s="13">
        <v>11.4</v>
      </c>
      <c r="R17" s="13">
        <v>2.6</v>
      </c>
      <c r="S17" s="13">
        <v>0.0</v>
      </c>
      <c r="T17" s="15">
        <v>30044.0</v>
      </c>
      <c r="U17" s="16">
        <f t="shared" si="1"/>
        <v>30044</v>
      </c>
      <c r="V17" s="16">
        <f t="shared" si="2"/>
        <v>0</v>
      </c>
      <c r="W17" s="16">
        <f>IF(ISNUMBER(F17),ROUND(F17/'05_Assumptions'!$B$4,0),"")</f>
        <v>2</v>
      </c>
      <c r="X17" s="16">
        <f t="shared" si="3"/>
        <v>1</v>
      </c>
      <c r="Y17" s="18" t="str">
        <f>IF(NOT(ISNUMBER(J17)),"",IF(J17=0,"no RHU",IF(F17/J17&gt;'05_Assumptions'!$B$4,"Yes","No")))</f>
        <v>Yes</v>
      </c>
      <c r="Z17" s="16">
        <f t="shared" si="4"/>
        <v>1</v>
      </c>
      <c r="AA17" s="19">
        <f t="shared" si="5"/>
        <v>0.02702702703</v>
      </c>
      <c r="AB17" s="20" t="str">
        <f>IF(AND(ISNUMBER(F17),F17&gt;0,ISNUMBER(M17)),M17/F17*'05_Assumptions'!$B$6,"")</f>
        <v/>
      </c>
      <c r="AC17" s="13" t="s">
        <v>631</v>
      </c>
      <c r="AD17" s="18">
        <f>IF(ISNUMBER(F17),ROUNDUP(F17/'05_Assumptions'!$B$4,0),"")</f>
        <v>2</v>
      </c>
      <c r="AE17" s="18">
        <f t="shared" si="6"/>
        <v>1</v>
      </c>
    </row>
    <row r="18">
      <c r="A18" s="13" t="s">
        <v>128</v>
      </c>
      <c r="B18" s="13" t="s">
        <v>526</v>
      </c>
      <c r="C18" s="13" t="s">
        <v>1052</v>
      </c>
      <c r="D18" s="13" t="s">
        <v>528</v>
      </c>
      <c r="E18" s="13" t="s">
        <v>531</v>
      </c>
      <c r="F18" s="15">
        <v>29558.0</v>
      </c>
      <c r="G18" s="15">
        <v>43.0</v>
      </c>
      <c r="H18" s="15"/>
      <c r="I18" s="15">
        <v>41.0</v>
      </c>
      <c r="J18" s="15">
        <v>1.0</v>
      </c>
      <c r="K18" s="15">
        <v>2.0</v>
      </c>
      <c r="L18" s="15">
        <v>0.0</v>
      </c>
      <c r="M18" s="15"/>
      <c r="N18" s="13">
        <v>20.9</v>
      </c>
      <c r="O18" s="13">
        <v>94.1</v>
      </c>
      <c r="P18" s="13">
        <v>122.6</v>
      </c>
      <c r="Q18" s="13">
        <v>19.4</v>
      </c>
      <c r="R18" s="13">
        <v>0.3</v>
      </c>
      <c r="S18" s="13">
        <v>15.6</v>
      </c>
      <c r="T18" s="15">
        <v>29558.0</v>
      </c>
      <c r="U18" s="16">
        <f t="shared" si="1"/>
        <v>29558</v>
      </c>
      <c r="V18" s="16">
        <f t="shared" si="2"/>
        <v>0</v>
      </c>
      <c r="W18" s="16">
        <f>IF(ISNUMBER(F18),ROUND(F18/'05_Assumptions'!$B$4,0),"")</f>
        <v>1</v>
      </c>
      <c r="X18" s="16">
        <f t="shared" si="3"/>
        <v>0</v>
      </c>
      <c r="Y18" s="18" t="str">
        <f>IF(NOT(ISNUMBER(J18)),"",IF(J18=0,"no RHU",IF(F18/J18&gt;'05_Assumptions'!$B$4,"Yes","No")))</f>
        <v>Yes</v>
      </c>
      <c r="Z18" s="16">
        <f t="shared" si="4"/>
        <v>2</v>
      </c>
      <c r="AA18" s="19">
        <f t="shared" si="5"/>
        <v>0.04651162791</v>
      </c>
      <c r="AB18" s="20" t="str">
        <f>IF(AND(ISNUMBER(F18),F18&gt;0,ISNUMBER(M18)),M18/F18*'05_Assumptions'!$B$6,"")</f>
        <v/>
      </c>
      <c r="AC18" s="13" t="s">
        <v>631</v>
      </c>
      <c r="AD18" s="18">
        <f>IF(ISNUMBER(F18),ROUNDUP(F18/'05_Assumptions'!$B$4,0),"")</f>
        <v>2</v>
      </c>
      <c r="AE18" s="18">
        <f t="shared" si="6"/>
        <v>1</v>
      </c>
    </row>
    <row r="19">
      <c r="A19" s="13" t="s">
        <v>128</v>
      </c>
      <c r="B19" s="13" t="s">
        <v>526</v>
      </c>
      <c r="C19" s="13" t="s">
        <v>1056</v>
      </c>
      <c r="D19" s="13" t="s">
        <v>528</v>
      </c>
      <c r="E19" s="13" t="s">
        <v>531</v>
      </c>
      <c r="F19" s="15">
        <v>28807.0</v>
      </c>
      <c r="G19" s="15">
        <v>30.0</v>
      </c>
      <c r="H19" s="15"/>
      <c r="I19" s="15">
        <v>24.0</v>
      </c>
      <c r="J19" s="15">
        <v>1.0</v>
      </c>
      <c r="K19" s="15">
        <v>6.0</v>
      </c>
      <c r="L19" s="15">
        <v>0.0</v>
      </c>
      <c r="M19" s="15"/>
      <c r="N19" s="13">
        <v>70.6</v>
      </c>
      <c r="O19" s="13">
        <v>100.0</v>
      </c>
      <c r="P19" s="13">
        <v>189.1</v>
      </c>
      <c r="Q19" s="13">
        <v>29.9</v>
      </c>
      <c r="R19" s="13">
        <v>0.0</v>
      </c>
      <c r="S19" s="13">
        <v>1.9</v>
      </c>
      <c r="T19" s="15">
        <v>28807.0</v>
      </c>
      <c r="U19" s="16">
        <f t="shared" si="1"/>
        <v>28807</v>
      </c>
      <c r="V19" s="16">
        <f t="shared" si="2"/>
        <v>0</v>
      </c>
      <c r="W19" s="16">
        <f>IF(ISNUMBER(F19),ROUND(F19/'05_Assumptions'!$B$4,0),"")</f>
        <v>1</v>
      </c>
      <c r="X19" s="16">
        <f t="shared" si="3"/>
        <v>0</v>
      </c>
      <c r="Y19" s="18" t="str">
        <f>IF(NOT(ISNUMBER(J19)),"",IF(J19=0,"no RHU",IF(F19/J19&gt;'05_Assumptions'!$B$4,"Yes","No")))</f>
        <v>Yes</v>
      </c>
      <c r="Z19" s="16">
        <f t="shared" si="4"/>
        <v>6</v>
      </c>
      <c r="AA19" s="19">
        <f t="shared" si="5"/>
        <v>0.2</v>
      </c>
      <c r="AB19" s="20" t="str">
        <f>IF(AND(ISNUMBER(F19),F19&gt;0,ISNUMBER(M19)),M19/F19*'05_Assumptions'!$B$6,"")</f>
        <v/>
      </c>
      <c r="AC19" s="13" t="s">
        <v>631</v>
      </c>
      <c r="AD19" s="18">
        <f>IF(ISNUMBER(F19),ROUNDUP(F19/'05_Assumptions'!$B$4,0),"")</f>
        <v>2</v>
      </c>
      <c r="AE19" s="18">
        <f t="shared" si="6"/>
        <v>1</v>
      </c>
    </row>
    <row r="20">
      <c r="A20" s="13" t="s">
        <v>128</v>
      </c>
      <c r="B20" s="13" t="s">
        <v>526</v>
      </c>
      <c r="C20" s="13" t="s">
        <v>1072</v>
      </c>
      <c r="D20" s="13" t="s">
        <v>528</v>
      </c>
      <c r="E20" s="13" t="s">
        <v>531</v>
      </c>
      <c r="F20" s="15">
        <v>28733.0</v>
      </c>
      <c r="G20" s="15">
        <v>36.0</v>
      </c>
      <c r="H20" s="15"/>
      <c r="I20" s="15">
        <v>34.0</v>
      </c>
      <c r="J20" s="15">
        <v>1.0</v>
      </c>
      <c r="K20" s="15">
        <v>2.0</v>
      </c>
      <c r="L20" s="15">
        <v>0.0</v>
      </c>
      <c r="M20" s="15"/>
      <c r="N20" s="13">
        <v>102.7</v>
      </c>
      <c r="O20" s="13">
        <v>94.4</v>
      </c>
      <c r="P20" s="13">
        <v>129.8</v>
      </c>
      <c r="Q20" s="13">
        <v>20.5</v>
      </c>
      <c r="R20" s="13">
        <v>0.0</v>
      </c>
      <c r="S20" s="13">
        <v>21.9</v>
      </c>
      <c r="T20" s="15">
        <v>28733.0</v>
      </c>
      <c r="U20" s="16">
        <f t="shared" si="1"/>
        <v>28733</v>
      </c>
      <c r="V20" s="16">
        <f t="shared" si="2"/>
        <v>0</v>
      </c>
      <c r="W20" s="16">
        <f>IF(ISNUMBER(F20),ROUND(F20/'05_Assumptions'!$B$4,0),"")</f>
        <v>1</v>
      </c>
      <c r="X20" s="16">
        <f t="shared" si="3"/>
        <v>0</v>
      </c>
      <c r="Y20" s="18" t="str">
        <f>IF(NOT(ISNUMBER(J20)),"",IF(J20=0,"no RHU",IF(F20/J20&gt;'05_Assumptions'!$B$4,"Yes","No")))</f>
        <v>Yes</v>
      </c>
      <c r="Z20" s="16">
        <f t="shared" si="4"/>
        <v>2</v>
      </c>
      <c r="AA20" s="19">
        <f t="shared" si="5"/>
        <v>0.05555555556</v>
      </c>
      <c r="AB20" s="20" t="str">
        <f>IF(AND(ISNUMBER(F20),F20&gt;0,ISNUMBER(M20)),M20/F20*'05_Assumptions'!$B$6,"")</f>
        <v/>
      </c>
      <c r="AC20" s="13" t="s">
        <v>631</v>
      </c>
      <c r="AD20" s="18">
        <f>IF(ISNUMBER(F20),ROUNDUP(F20/'05_Assumptions'!$B$4,0),"")</f>
        <v>2</v>
      </c>
      <c r="AE20" s="18">
        <f t="shared" si="6"/>
        <v>1</v>
      </c>
    </row>
    <row r="21" ht="15.75" customHeight="1">
      <c r="A21" s="13" t="s">
        <v>128</v>
      </c>
      <c r="B21" s="13" t="s">
        <v>526</v>
      </c>
      <c r="C21" s="13" t="s">
        <v>1080</v>
      </c>
      <c r="D21" s="13" t="s">
        <v>528</v>
      </c>
      <c r="E21" s="13" t="s">
        <v>531</v>
      </c>
      <c r="F21" s="15">
        <v>27031.0</v>
      </c>
      <c r="G21" s="15">
        <v>26.0</v>
      </c>
      <c r="H21" s="15"/>
      <c r="I21" s="15">
        <v>26.0</v>
      </c>
      <c r="J21" s="15">
        <v>1.0</v>
      </c>
      <c r="K21" s="15">
        <v>0.0</v>
      </c>
      <c r="L21" s="15">
        <v>1.0</v>
      </c>
      <c r="M21" s="15"/>
      <c r="N21" s="13">
        <v>85.2</v>
      </c>
      <c r="O21" s="13">
        <v>21.2</v>
      </c>
      <c r="P21" s="13">
        <v>55.7</v>
      </c>
      <c r="Q21" s="13">
        <v>8.8</v>
      </c>
      <c r="R21" s="13">
        <v>2.4</v>
      </c>
      <c r="S21" s="13">
        <v>30.2</v>
      </c>
      <c r="T21" s="15">
        <v>27031.0</v>
      </c>
      <c r="U21" s="16">
        <f t="shared" si="1"/>
        <v>27031</v>
      </c>
      <c r="V21" s="16">
        <f t="shared" si="2"/>
        <v>0</v>
      </c>
      <c r="W21" s="16">
        <f>IF(ISNUMBER(F21),ROUND(F21/'05_Assumptions'!$B$4,0),"")</f>
        <v>1</v>
      </c>
      <c r="X21" s="16">
        <f t="shared" si="3"/>
        <v>0</v>
      </c>
      <c r="Y21" s="18" t="str">
        <f>IF(NOT(ISNUMBER(J21)),"",IF(J21=0,"no RHU",IF(F21/J21&gt;'05_Assumptions'!$B$4,"Yes","No")))</f>
        <v>Yes</v>
      </c>
      <c r="Z21" s="16">
        <f t="shared" si="4"/>
        <v>0</v>
      </c>
      <c r="AA21" s="19">
        <f t="shared" si="5"/>
        <v>0</v>
      </c>
      <c r="AB21" s="20" t="str">
        <f>IF(AND(ISNUMBER(F21),F21&gt;0,ISNUMBER(M21)),M21/F21*'05_Assumptions'!$B$6,"")</f>
        <v/>
      </c>
      <c r="AC21" s="13" t="s">
        <v>631</v>
      </c>
      <c r="AD21" s="18">
        <f>IF(ISNUMBER(F21),ROUNDUP(F21/'05_Assumptions'!$B$4,0),"")</f>
        <v>2</v>
      </c>
      <c r="AE21" s="18">
        <f t="shared" si="6"/>
        <v>1</v>
      </c>
    </row>
    <row r="22" ht="15.75" customHeight="1">
      <c r="A22" s="13" t="s">
        <v>128</v>
      </c>
      <c r="B22" s="13" t="s">
        <v>526</v>
      </c>
      <c r="C22" s="13" t="s">
        <v>1094</v>
      </c>
      <c r="D22" s="13" t="s">
        <v>528</v>
      </c>
      <c r="E22" s="13" t="s">
        <v>531</v>
      </c>
      <c r="F22" s="15">
        <v>26918.0</v>
      </c>
      <c r="G22" s="15">
        <v>35.0</v>
      </c>
      <c r="H22" s="15"/>
      <c r="I22" s="15">
        <v>32.0</v>
      </c>
      <c r="J22" s="15">
        <v>1.0</v>
      </c>
      <c r="K22" s="15">
        <v>3.0</v>
      </c>
      <c r="L22" s="15">
        <v>0.0</v>
      </c>
      <c r="M22" s="15"/>
      <c r="N22" s="13">
        <v>91.8</v>
      </c>
      <c r="O22" s="13">
        <v>96.5</v>
      </c>
      <c r="P22" s="13">
        <v>122.1</v>
      </c>
      <c r="Q22" s="13">
        <v>19.3</v>
      </c>
      <c r="R22" s="13">
        <v>0.9</v>
      </c>
      <c r="S22" s="13">
        <v>2.4</v>
      </c>
      <c r="T22" s="15">
        <v>26918.0</v>
      </c>
      <c r="U22" s="16">
        <f t="shared" si="1"/>
        <v>26918</v>
      </c>
      <c r="V22" s="16">
        <f t="shared" si="2"/>
        <v>0</v>
      </c>
      <c r="W22" s="16">
        <f>IF(ISNUMBER(F22),ROUND(F22/'05_Assumptions'!$B$4,0),"")</f>
        <v>1</v>
      </c>
      <c r="X22" s="16">
        <f t="shared" si="3"/>
        <v>0</v>
      </c>
      <c r="Y22" s="18" t="str">
        <f>IF(NOT(ISNUMBER(J22)),"",IF(J22=0,"no RHU",IF(F22/J22&gt;'05_Assumptions'!$B$4,"Yes","No")))</f>
        <v>Yes</v>
      </c>
      <c r="Z22" s="16">
        <f t="shared" si="4"/>
        <v>3</v>
      </c>
      <c r="AA22" s="19">
        <f t="shared" si="5"/>
        <v>0.08571428571</v>
      </c>
      <c r="AB22" s="20" t="str">
        <f>IF(AND(ISNUMBER(F22),F22&gt;0,ISNUMBER(M22)),M22/F22*'05_Assumptions'!$B$6,"")</f>
        <v/>
      </c>
      <c r="AC22" s="13" t="s">
        <v>631</v>
      </c>
      <c r="AD22" s="18">
        <f>IF(ISNUMBER(F22),ROUNDUP(F22/'05_Assumptions'!$B$4,0),"")</f>
        <v>2</v>
      </c>
      <c r="AE22" s="18">
        <f t="shared" si="6"/>
        <v>1</v>
      </c>
    </row>
    <row r="23" ht="15.75" customHeight="1">
      <c r="A23" s="13" t="s">
        <v>128</v>
      </c>
      <c r="B23" s="13" t="s">
        <v>526</v>
      </c>
      <c r="C23" s="13" t="s">
        <v>1112</v>
      </c>
      <c r="D23" s="13" t="s">
        <v>528</v>
      </c>
      <c r="E23" s="13" t="s">
        <v>531</v>
      </c>
      <c r="F23" s="15">
        <v>26283.0</v>
      </c>
      <c r="G23" s="15">
        <v>23.0</v>
      </c>
      <c r="H23" s="15"/>
      <c r="I23" s="15">
        <v>22.0</v>
      </c>
      <c r="J23" s="15">
        <v>1.0</v>
      </c>
      <c r="K23" s="15">
        <v>1.0</v>
      </c>
      <c r="L23" s="15">
        <v>0.0</v>
      </c>
      <c r="M23" s="15"/>
      <c r="N23" s="13">
        <v>71.5</v>
      </c>
      <c r="O23" s="13">
        <v>31.2</v>
      </c>
      <c r="P23" s="13">
        <v>77.4</v>
      </c>
      <c r="Q23" s="13">
        <v>12.3</v>
      </c>
      <c r="R23" s="13">
        <v>1.4</v>
      </c>
      <c r="S23" s="13">
        <v>7.7</v>
      </c>
      <c r="T23" s="15">
        <v>26283.0</v>
      </c>
      <c r="U23" s="16">
        <f t="shared" si="1"/>
        <v>26283</v>
      </c>
      <c r="V23" s="16">
        <f t="shared" si="2"/>
        <v>0</v>
      </c>
      <c r="W23" s="16">
        <f>IF(ISNUMBER(F23),ROUND(F23/'05_Assumptions'!$B$4,0),"")</f>
        <v>1</v>
      </c>
      <c r="X23" s="16">
        <f t="shared" si="3"/>
        <v>0</v>
      </c>
      <c r="Y23" s="18" t="str">
        <f>IF(NOT(ISNUMBER(J23)),"",IF(J23=0,"no RHU",IF(F23/J23&gt;'05_Assumptions'!$B$4,"Yes","No")))</f>
        <v>Yes</v>
      </c>
      <c r="Z23" s="16">
        <f t="shared" si="4"/>
        <v>1</v>
      </c>
      <c r="AA23" s="19">
        <f t="shared" si="5"/>
        <v>0.04347826087</v>
      </c>
      <c r="AB23" s="20" t="str">
        <f>IF(AND(ISNUMBER(F23),F23&gt;0,ISNUMBER(M23)),M23/F23*'05_Assumptions'!$B$6,"")</f>
        <v/>
      </c>
      <c r="AC23" s="13" t="s">
        <v>631</v>
      </c>
      <c r="AD23" s="18">
        <f>IF(ISNUMBER(F23),ROUNDUP(F23/'05_Assumptions'!$B$4,0),"")</f>
        <v>2</v>
      </c>
      <c r="AE23" s="18">
        <f t="shared" si="6"/>
        <v>1</v>
      </c>
    </row>
    <row r="24" ht="15.75" customHeight="1">
      <c r="A24" s="13" t="s">
        <v>128</v>
      </c>
      <c r="B24" s="13" t="s">
        <v>526</v>
      </c>
      <c r="C24" s="13" t="s">
        <v>1140</v>
      </c>
      <c r="D24" s="13" t="s">
        <v>528</v>
      </c>
      <c r="E24" s="13" t="s">
        <v>531</v>
      </c>
      <c r="F24" s="15">
        <v>25394.0</v>
      </c>
      <c r="G24" s="15">
        <v>16.0</v>
      </c>
      <c r="H24" s="15"/>
      <c r="I24" s="15">
        <v>14.0</v>
      </c>
      <c r="J24" s="15">
        <v>1.0</v>
      </c>
      <c r="K24" s="15">
        <v>2.0</v>
      </c>
      <c r="L24" s="15">
        <v>0.0</v>
      </c>
      <c r="M24" s="15"/>
      <c r="N24" s="13">
        <v>88.2</v>
      </c>
      <c r="O24" s="13">
        <v>75.7</v>
      </c>
      <c r="P24" s="13">
        <v>91.0</v>
      </c>
      <c r="Q24" s="13">
        <v>14.4</v>
      </c>
      <c r="R24" s="13">
        <v>16.2</v>
      </c>
      <c r="S24" s="13">
        <v>14.6</v>
      </c>
      <c r="T24" s="15">
        <v>25394.0</v>
      </c>
      <c r="U24" s="16">
        <f t="shared" si="1"/>
        <v>25394</v>
      </c>
      <c r="V24" s="16">
        <f t="shared" si="2"/>
        <v>0</v>
      </c>
      <c r="W24" s="16">
        <f>IF(ISNUMBER(F24),ROUND(F24/'05_Assumptions'!$B$4,0),"")</f>
        <v>1</v>
      </c>
      <c r="X24" s="16">
        <f t="shared" si="3"/>
        <v>0</v>
      </c>
      <c r="Y24" s="18" t="str">
        <f>IF(NOT(ISNUMBER(J24)),"",IF(J24=0,"no RHU",IF(F24/J24&gt;'05_Assumptions'!$B$4,"Yes","No")))</f>
        <v>Yes</v>
      </c>
      <c r="Z24" s="16">
        <f t="shared" si="4"/>
        <v>2</v>
      </c>
      <c r="AA24" s="19">
        <f t="shared" si="5"/>
        <v>0.125</v>
      </c>
      <c r="AB24" s="20" t="str">
        <f>IF(AND(ISNUMBER(F24),F24&gt;0,ISNUMBER(M24)),M24/F24*'05_Assumptions'!$B$6,"")</f>
        <v/>
      </c>
      <c r="AC24" s="13" t="s">
        <v>631</v>
      </c>
      <c r="AD24" s="18">
        <f>IF(ISNUMBER(F24),ROUNDUP(F24/'05_Assumptions'!$B$4,0),"")</f>
        <v>2</v>
      </c>
      <c r="AE24" s="18">
        <f t="shared" si="6"/>
        <v>1</v>
      </c>
    </row>
    <row r="25" ht="15.75" customHeight="1">
      <c r="A25" s="13" t="s">
        <v>128</v>
      </c>
      <c r="B25" s="13" t="s">
        <v>526</v>
      </c>
      <c r="C25" s="13" t="s">
        <v>1171</v>
      </c>
      <c r="D25" s="13" t="s">
        <v>528</v>
      </c>
      <c r="E25" s="13" t="s">
        <v>531</v>
      </c>
      <c r="F25" s="15">
        <v>24988.0</v>
      </c>
      <c r="G25" s="15">
        <v>21.0</v>
      </c>
      <c r="H25" s="15"/>
      <c r="I25" s="15">
        <v>21.0</v>
      </c>
      <c r="J25" s="15">
        <v>1.0</v>
      </c>
      <c r="K25" s="15">
        <v>0.0</v>
      </c>
      <c r="L25" s="15">
        <v>0.0</v>
      </c>
      <c r="M25" s="15"/>
      <c r="N25" s="13">
        <v>58.9</v>
      </c>
      <c r="O25" s="13">
        <v>78.7</v>
      </c>
      <c r="P25" s="13">
        <v>142.5</v>
      </c>
      <c r="Q25" s="13">
        <v>22.5</v>
      </c>
      <c r="R25" s="13">
        <v>0.4</v>
      </c>
      <c r="S25" s="13">
        <v>0.4</v>
      </c>
      <c r="T25" s="15">
        <v>24988.0</v>
      </c>
      <c r="U25" s="16">
        <f t="shared" si="1"/>
        <v>24988</v>
      </c>
      <c r="V25" s="16">
        <f t="shared" si="2"/>
        <v>0</v>
      </c>
      <c r="W25" s="16">
        <f>IF(ISNUMBER(F25),ROUND(F25/'05_Assumptions'!$B$4,0),"")</f>
        <v>1</v>
      </c>
      <c r="X25" s="16">
        <f t="shared" si="3"/>
        <v>0</v>
      </c>
      <c r="Y25" s="18" t="str">
        <f>IF(NOT(ISNUMBER(J25)),"",IF(J25=0,"no RHU",IF(F25/J25&gt;'05_Assumptions'!$B$4,"Yes","No")))</f>
        <v>Yes</v>
      </c>
      <c r="Z25" s="16">
        <f t="shared" si="4"/>
        <v>0</v>
      </c>
      <c r="AA25" s="19">
        <f t="shared" si="5"/>
        <v>0</v>
      </c>
      <c r="AB25" s="20" t="str">
        <f>IF(AND(ISNUMBER(F25),F25&gt;0,ISNUMBER(M25)),M25/F25*'05_Assumptions'!$B$6,"")</f>
        <v/>
      </c>
      <c r="AC25" s="13" t="s">
        <v>631</v>
      </c>
      <c r="AD25" s="18">
        <f>IF(ISNUMBER(F25),ROUNDUP(F25/'05_Assumptions'!$B$4,0),"")</f>
        <v>2</v>
      </c>
      <c r="AE25" s="18">
        <f t="shared" si="6"/>
        <v>1</v>
      </c>
    </row>
    <row r="26" ht="15.75" customHeight="1">
      <c r="A26" s="13" t="s">
        <v>128</v>
      </c>
      <c r="B26" s="13" t="s">
        <v>526</v>
      </c>
      <c r="C26" s="13" t="s">
        <v>1196</v>
      </c>
      <c r="D26" s="13" t="s">
        <v>528</v>
      </c>
      <c r="E26" s="13" t="s">
        <v>531</v>
      </c>
      <c r="F26" s="15">
        <v>24886.0</v>
      </c>
      <c r="G26" s="15">
        <v>24.0</v>
      </c>
      <c r="H26" s="15"/>
      <c r="I26" s="15">
        <v>23.0</v>
      </c>
      <c r="J26" s="15">
        <v>1.0</v>
      </c>
      <c r="K26" s="15">
        <v>1.0</v>
      </c>
      <c r="L26" s="15">
        <v>0.0</v>
      </c>
      <c r="M26" s="15"/>
      <c r="N26" s="13">
        <v>98.5</v>
      </c>
      <c r="O26" s="13">
        <v>30.5</v>
      </c>
      <c r="P26" s="13">
        <v>94.0</v>
      </c>
      <c r="Q26" s="13">
        <v>14.9</v>
      </c>
      <c r="R26" s="13">
        <v>9.8</v>
      </c>
      <c r="S26" s="13">
        <v>10.7</v>
      </c>
      <c r="T26" s="15">
        <v>24886.0</v>
      </c>
      <c r="U26" s="16">
        <f t="shared" si="1"/>
        <v>24886</v>
      </c>
      <c r="V26" s="16">
        <f t="shared" si="2"/>
        <v>0</v>
      </c>
      <c r="W26" s="16">
        <f>IF(ISNUMBER(F26),ROUND(F26/'05_Assumptions'!$B$4,0),"")</f>
        <v>1</v>
      </c>
      <c r="X26" s="16">
        <f t="shared" si="3"/>
        <v>0</v>
      </c>
      <c r="Y26" s="18" t="str">
        <f>IF(NOT(ISNUMBER(J26)),"",IF(J26=0,"no RHU",IF(F26/J26&gt;'05_Assumptions'!$B$4,"Yes","No")))</f>
        <v>Yes</v>
      </c>
      <c r="Z26" s="16">
        <f t="shared" si="4"/>
        <v>1</v>
      </c>
      <c r="AA26" s="19">
        <f t="shared" si="5"/>
        <v>0.04166666667</v>
      </c>
      <c r="AB26" s="20" t="str">
        <f>IF(AND(ISNUMBER(F26),F26&gt;0,ISNUMBER(M26)),M26/F26*'05_Assumptions'!$B$6,"")</f>
        <v/>
      </c>
      <c r="AC26" s="13" t="s">
        <v>631</v>
      </c>
      <c r="AD26" s="18">
        <f>IF(ISNUMBER(F26),ROUNDUP(F26/'05_Assumptions'!$B$4,0),"")</f>
        <v>2</v>
      </c>
      <c r="AE26" s="18">
        <f t="shared" si="6"/>
        <v>1</v>
      </c>
    </row>
    <row r="27" ht="15.75" customHeight="1">
      <c r="A27" s="13" t="s">
        <v>128</v>
      </c>
      <c r="B27" s="13" t="s">
        <v>526</v>
      </c>
      <c r="C27" s="13" t="s">
        <v>1202</v>
      </c>
      <c r="D27" s="13" t="s">
        <v>528</v>
      </c>
      <c r="E27" s="13" t="s">
        <v>531</v>
      </c>
      <c r="F27" s="15">
        <v>24381.0</v>
      </c>
      <c r="G27" s="15">
        <v>26.0</v>
      </c>
      <c r="H27" s="15"/>
      <c r="I27" s="15">
        <v>21.0</v>
      </c>
      <c r="J27" s="15">
        <v>1.0</v>
      </c>
      <c r="K27" s="15">
        <v>5.0</v>
      </c>
      <c r="L27" s="15">
        <v>0.0</v>
      </c>
      <c r="M27" s="15"/>
      <c r="N27" s="13">
        <v>86.9</v>
      </c>
      <c r="O27" s="13">
        <v>43.2</v>
      </c>
      <c r="P27" s="13">
        <v>96.9</v>
      </c>
      <c r="Q27" s="13">
        <v>15.3</v>
      </c>
      <c r="R27" s="13">
        <v>0.2</v>
      </c>
      <c r="S27" s="13">
        <v>10.8</v>
      </c>
      <c r="T27" s="15">
        <v>24381.0</v>
      </c>
      <c r="U27" s="16">
        <f t="shared" si="1"/>
        <v>24381</v>
      </c>
      <c r="V27" s="16">
        <f t="shared" si="2"/>
        <v>0</v>
      </c>
      <c r="W27" s="16">
        <f>IF(ISNUMBER(F27),ROUND(F27/'05_Assumptions'!$B$4,0),"")</f>
        <v>1</v>
      </c>
      <c r="X27" s="16">
        <f t="shared" si="3"/>
        <v>0</v>
      </c>
      <c r="Y27" s="18" t="str">
        <f>IF(NOT(ISNUMBER(J27)),"",IF(J27=0,"no RHU",IF(F27/J27&gt;'05_Assumptions'!$B$4,"Yes","No")))</f>
        <v>Yes</v>
      </c>
      <c r="Z27" s="16">
        <f t="shared" si="4"/>
        <v>5</v>
      </c>
      <c r="AA27" s="19">
        <f t="shared" si="5"/>
        <v>0.1923076923</v>
      </c>
      <c r="AB27" s="20" t="str">
        <f>IF(AND(ISNUMBER(F27),F27&gt;0,ISNUMBER(M27)),M27/F27*'05_Assumptions'!$B$6,"")</f>
        <v/>
      </c>
      <c r="AC27" s="13" t="s">
        <v>631</v>
      </c>
      <c r="AD27" s="18">
        <f>IF(ISNUMBER(F27),ROUNDUP(F27/'05_Assumptions'!$B$4,0),"")</f>
        <v>2</v>
      </c>
      <c r="AE27" s="18">
        <f t="shared" si="6"/>
        <v>1</v>
      </c>
    </row>
    <row r="28" ht="15.75" customHeight="1">
      <c r="A28" s="13" t="s">
        <v>128</v>
      </c>
      <c r="B28" s="13" t="s">
        <v>526</v>
      </c>
      <c r="C28" s="13" t="s">
        <v>1244</v>
      </c>
      <c r="D28" s="13" t="s">
        <v>528</v>
      </c>
      <c r="E28" s="13" t="s">
        <v>531</v>
      </c>
      <c r="F28" s="15">
        <v>23283.0</v>
      </c>
      <c r="G28" s="15">
        <v>33.0</v>
      </c>
      <c r="H28" s="15"/>
      <c r="I28" s="15">
        <v>30.0</v>
      </c>
      <c r="J28" s="15">
        <v>1.0</v>
      </c>
      <c r="K28" s="15">
        <v>3.0</v>
      </c>
      <c r="L28" s="15">
        <v>0.0</v>
      </c>
      <c r="M28" s="15"/>
      <c r="N28" s="13">
        <v>57.2</v>
      </c>
      <c r="O28" s="13">
        <v>97.5</v>
      </c>
      <c r="P28" s="13">
        <v>119.8</v>
      </c>
      <c r="Q28" s="13">
        <v>19.0</v>
      </c>
      <c r="R28" s="13">
        <v>0.0</v>
      </c>
      <c r="S28" s="13">
        <v>32.4</v>
      </c>
      <c r="T28" s="15">
        <v>23283.0</v>
      </c>
      <c r="U28" s="16">
        <f t="shared" si="1"/>
        <v>23283</v>
      </c>
      <c r="V28" s="16">
        <f t="shared" si="2"/>
        <v>0</v>
      </c>
      <c r="W28" s="16">
        <f>IF(ISNUMBER(F28),ROUND(F28/'05_Assumptions'!$B$4,0),"")</f>
        <v>1</v>
      </c>
      <c r="X28" s="16">
        <f t="shared" si="3"/>
        <v>0</v>
      </c>
      <c r="Y28" s="18" t="str">
        <f>IF(NOT(ISNUMBER(J28)),"",IF(J28=0,"no RHU",IF(F28/J28&gt;'05_Assumptions'!$B$4,"Yes","No")))</f>
        <v>Yes</v>
      </c>
      <c r="Z28" s="16">
        <f t="shared" si="4"/>
        <v>3</v>
      </c>
      <c r="AA28" s="19">
        <f t="shared" si="5"/>
        <v>0.09090909091</v>
      </c>
      <c r="AB28" s="20" t="str">
        <f>IF(AND(ISNUMBER(F28),F28&gt;0,ISNUMBER(M28)),M28/F28*'05_Assumptions'!$B$6,"")</f>
        <v/>
      </c>
      <c r="AC28" s="13" t="s">
        <v>631</v>
      </c>
      <c r="AD28" s="18">
        <f>IF(ISNUMBER(F28),ROUNDUP(F28/'05_Assumptions'!$B$4,0),"")</f>
        <v>2</v>
      </c>
      <c r="AE28" s="18">
        <f t="shared" si="6"/>
        <v>1</v>
      </c>
    </row>
    <row r="29" ht="15.75" customHeight="1">
      <c r="A29" s="13" t="s">
        <v>128</v>
      </c>
      <c r="B29" s="13" t="s">
        <v>526</v>
      </c>
      <c r="C29" s="13" t="s">
        <v>1266</v>
      </c>
      <c r="D29" s="13" t="s">
        <v>528</v>
      </c>
      <c r="E29" s="13" t="s">
        <v>531</v>
      </c>
      <c r="F29" s="15">
        <v>23228.0</v>
      </c>
      <c r="G29" s="15">
        <v>15.0</v>
      </c>
      <c r="H29" s="15"/>
      <c r="I29" s="15">
        <v>12.0</v>
      </c>
      <c r="J29" s="15">
        <v>1.0</v>
      </c>
      <c r="K29" s="15">
        <v>3.0</v>
      </c>
      <c r="L29" s="15">
        <v>0.0</v>
      </c>
      <c r="M29" s="15"/>
      <c r="N29" s="13">
        <v>66.3</v>
      </c>
      <c r="O29" s="13">
        <v>77.5</v>
      </c>
      <c r="P29" s="13">
        <v>311.2</v>
      </c>
      <c r="Q29" s="13">
        <v>49.3</v>
      </c>
      <c r="R29" s="13">
        <v>2.9</v>
      </c>
      <c r="S29" s="13">
        <v>0.2</v>
      </c>
      <c r="T29" s="15">
        <v>23228.0</v>
      </c>
      <c r="U29" s="16">
        <f t="shared" si="1"/>
        <v>23228</v>
      </c>
      <c r="V29" s="16">
        <f t="shared" si="2"/>
        <v>0</v>
      </c>
      <c r="W29" s="16">
        <f>IF(ISNUMBER(F29),ROUND(F29/'05_Assumptions'!$B$4,0),"")</f>
        <v>1</v>
      </c>
      <c r="X29" s="16">
        <f t="shared" si="3"/>
        <v>0</v>
      </c>
      <c r="Y29" s="18" t="str">
        <f>IF(NOT(ISNUMBER(J29)),"",IF(J29=0,"no RHU",IF(F29/J29&gt;'05_Assumptions'!$B$4,"Yes","No")))</f>
        <v>Yes</v>
      </c>
      <c r="Z29" s="16">
        <f t="shared" si="4"/>
        <v>3</v>
      </c>
      <c r="AA29" s="19">
        <f t="shared" si="5"/>
        <v>0.2</v>
      </c>
      <c r="AB29" s="20" t="str">
        <f>IF(AND(ISNUMBER(F29),F29&gt;0,ISNUMBER(M29)),M29/F29*'05_Assumptions'!$B$6,"")</f>
        <v/>
      </c>
      <c r="AC29" s="13" t="s">
        <v>631</v>
      </c>
      <c r="AD29" s="18">
        <f>IF(ISNUMBER(F29),ROUNDUP(F29/'05_Assumptions'!$B$4,0),"")</f>
        <v>2</v>
      </c>
      <c r="AE29" s="18">
        <f t="shared" si="6"/>
        <v>1</v>
      </c>
    </row>
    <row r="30" ht="15.75" customHeight="1">
      <c r="A30" s="13" t="s">
        <v>128</v>
      </c>
      <c r="B30" s="13" t="s">
        <v>526</v>
      </c>
      <c r="C30" s="13" t="s">
        <v>1303</v>
      </c>
      <c r="D30" s="13" t="s">
        <v>528</v>
      </c>
      <c r="E30" s="13" t="s">
        <v>531</v>
      </c>
      <c r="F30" s="15">
        <v>23159.0</v>
      </c>
      <c r="G30" s="15">
        <v>26.0</v>
      </c>
      <c r="H30" s="15"/>
      <c r="I30" s="15">
        <v>25.0</v>
      </c>
      <c r="J30" s="15">
        <v>1.0</v>
      </c>
      <c r="K30" s="15">
        <v>1.0</v>
      </c>
      <c r="L30" s="15">
        <v>0.0</v>
      </c>
      <c r="M30" s="15"/>
      <c r="N30" s="13">
        <v>80.8</v>
      </c>
      <c r="O30" s="13">
        <v>87.2</v>
      </c>
      <c r="P30" s="13">
        <v>120.3</v>
      </c>
      <c r="Q30" s="13">
        <v>19.0</v>
      </c>
      <c r="R30" s="13">
        <v>0.6</v>
      </c>
      <c r="S30" s="13">
        <v>2.2</v>
      </c>
      <c r="T30" s="15">
        <v>23159.0</v>
      </c>
      <c r="U30" s="16">
        <f t="shared" si="1"/>
        <v>23159</v>
      </c>
      <c r="V30" s="16">
        <f t="shared" si="2"/>
        <v>0</v>
      </c>
      <c r="W30" s="16">
        <f>IF(ISNUMBER(F30),ROUND(F30/'05_Assumptions'!$B$4,0),"")</f>
        <v>1</v>
      </c>
      <c r="X30" s="16">
        <f t="shared" si="3"/>
        <v>0</v>
      </c>
      <c r="Y30" s="18" t="str">
        <f>IF(NOT(ISNUMBER(J30)),"",IF(J30=0,"no RHU",IF(F30/J30&gt;'05_Assumptions'!$B$4,"Yes","No")))</f>
        <v>Yes</v>
      </c>
      <c r="Z30" s="16">
        <f t="shared" si="4"/>
        <v>1</v>
      </c>
      <c r="AA30" s="19">
        <f t="shared" si="5"/>
        <v>0.03846153846</v>
      </c>
      <c r="AB30" s="20" t="str">
        <f>IF(AND(ISNUMBER(F30),F30&gt;0,ISNUMBER(M30)),M30/F30*'05_Assumptions'!$B$6,"")</f>
        <v/>
      </c>
      <c r="AC30" s="13" t="s">
        <v>631</v>
      </c>
      <c r="AD30" s="18">
        <f>IF(ISNUMBER(F30),ROUNDUP(F30/'05_Assumptions'!$B$4,0),"")</f>
        <v>2</v>
      </c>
      <c r="AE30" s="18">
        <f t="shared" si="6"/>
        <v>1</v>
      </c>
    </row>
    <row r="31" ht="15.75" customHeight="1">
      <c r="A31" s="13" t="s">
        <v>128</v>
      </c>
      <c r="B31" s="13" t="s">
        <v>526</v>
      </c>
      <c r="C31" s="13" t="s">
        <v>1346</v>
      </c>
      <c r="D31" s="13" t="s">
        <v>528</v>
      </c>
      <c r="E31" s="13" t="s">
        <v>531</v>
      </c>
      <c r="F31" s="15">
        <v>21630.0</v>
      </c>
      <c r="G31" s="15">
        <v>20.0</v>
      </c>
      <c r="H31" s="15"/>
      <c r="I31" s="15">
        <v>18.0</v>
      </c>
      <c r="J31" s="15">
        <v>1.0</v>
      </c>
      <c r="K31" s="15">
        <v>2.0</v>
      </c>
      <c r="L31" s="15">
        <v>0.0</v>
      </c>
      <c r="M31" s="15"/>
      <c r="N31" s="13">
        <v>81.5</v>
      </c>
      <c r="O31" s="13">
        <v>85.8</v>
      </c>
      <c r="P31" s="13">
        <v>74.4</v>
      </c>
      <c r="Q31" s="13">
        <v>11.8</v>
      </c>
      <c r="R31" s="13">
        <v>3.2</v>
      </c>
      <c r="S31" s="13">
        <v>2.3</v>
      </c>
      <c r="T31" s="15">
        <v>21630.0</v>
      </c>
      <c r="U31" s="16">
        <f t="shared" si="1"/>
        <v>21630</v>
      </c>
      <c r="V31" s="16">
        <f t="shared" si="2"/>
        <v>0</v>
      </c>
      <c r="W31" s="16">
        <f>IF(ISNUMBER(F31),ROUND(F31/'05_Assumptions'!$B$4,0),"")</f>
        <v>1</v>
      </c>
      <c r="X31" s="16">
        <f t="shared" si="3"/>
        <v>0</v>
      </c>
      <c r="Y31" s="18" t="str">
        <f>IF(NOT(ISNUMBER(J31)),"",IF(J31=0,"no RHU",IF(F31/J31&gt;'05_Assumptions'!$B$4,"Yes","No")))</f>
        <v>Yes</v>
      </c>
      <c r="Z31" s="16">
        <f t="shared" si="4"/>
        <v>2</v>
      </c>
      <c r="AA31" s="19">
        <f t="shared" si="5"/>
        <v>0.1</v>
      </c>
      <c r="AB31" s="20" t="str">
        <f>IF(AND(ISNUMBER(F31),F31&gt;0,ISNUMBER(M31)),M31/F31*'05_Assumptions'!$B$6,"")</f>
        <v/>
      </c>
      <c r="AC31" s="13" t="s">
        <v>631</v>
      </c>
      <c r="AD31" s="18">
        <f>IF(ISNUMBER(F31),ROUNDUP(F31/'05_Assumptions'!$B$4,0),"")</f>
        <v>2</v>
      </c>
      <c r="AE31" s="18">
        <f t="shared" si="6"/>
        <v>1</v>
      </c>
    </row>
    <row r="32" ht="15.75" customHeight="1">
      <c r="A32" s="13" t="s">
        <v>128</v>
      </c>
      <c r="B32" s="13" t="s">
        <v>526</v>
      </c>
      <c r="C32" s="13" t="s">
        <v>1386</v>
      </c>
      <c r="D32" s="13" t="s">
        <v>528</v>
      </c>
      <c r="E32" s="13" t="s">
        <v>531</v>
      </c>
      <c r="F32" s="15">
        <v>21469.0</v>
      </c>
      <c r="G32" s="15">
        <v>22.0</v>
      </c>
      <c r="H32" s="15"/>
      <c r="I32" s="15">
        <v>22.0</v>
      </c>
      <c r="J32" s="15">
        <v>1.0</v>
      </c>
      <c r="K32" s="15">
        <v>0.0</v>
      </c>
      <c r="L32" s="15">
        <v>0.0</v>
      </c>
      <c r="M32" s="15"/>
      <c r="N32" s="13">
        <v>89.8</v>
      </c>
      <c r="O32" s="13">
        <v>94.4</v>
      </c>
      <c r="P32" s="13">
        <v>134.1</v>
      </c>
      <c r="Q32" s="13">
        <v>21.2</v>
      </c>
      <c r="R32" s="13">
        <v>3.7</v>
      </c>
      <c r="S32" s="13">
        <v>0.0</v>
      </c>
      <c r="T32" s="15">
        <v>21469.0</v>
      </c>
      <c r="U32" s="16">
        <f t="shared" si="1"/>
        <v>21469</v>
      </c>
      <c r="V32" s="16">
        <f t="shared" si="2"/>
        <v>0</v>
      </c>
      <c r="W32" s="16">
        <f>IF(ISNUMBER(F32),ROUND(F32/'05_Assumptions'!$B$4,0),"")</f>
        <v>1</v>
      </c>
      <c r="X32" s="16">
        <f t="shared" si="3"/>
        <v>0</v>
      </c>
      <c r="Y32" s="18" t="str">
        <f>IF(NOT(ISNUMBER(J32)),"",IF(J32=0,"no RHU",IF(F32/J32&gt;'05_Assumptions'!$B$4,"Yes","No")))</f>
        <v>Yes</v>
      </c>
      <c r="Z32" s="16">
        <f t="shared" si="4"/>
        <v>0</v>
      </c>
      <c r="AA32" s="19">
        <f t="shared" si="5"/>
        <v>0</v>
      </c>
      <c r="AB32" s="20" t="str">
        <f>IF(AND(ISNUMBER(F32),F32&gt;0,ISNUMBER(M32)),M32/F32*'05_Assumptions'!$B$6,"")</f>
        <v/>
      </c>
      <c r="AC32" s="13" t="s">
        <v>631</v>
      </c>
      <c r="AD32" s="18">
        <f>IF(ISNUMBER(F32),ROUNDUP(F32/'05_Assumptions'!$B$4,0),"")</f>
        <v>2</v>
      </c>
      <c r="AE32" s="18">
        <f t="shared" si="6"/>
        <v>1</v>
      </c>
    </row>
    <row r="33" ht="15.75" customHeight="1">
      <c r="A33" s="13" t="s">
        <v>128</v>
      </c>
      <c r="B33" s="13" t="s">
        <v>526</v>
      </c>
      <c r="C33" s="13" t="s">
        <v>1443</v>
      </c>
      <c r="D33" s="13" t="s">
        <v>528</v>
      </c>
      <c r="E33" s="13" t="s">
        <v>531</v>
      </c>
      <c r="F33" s="15">
        <v>19296.0</v>
      </c>
      <c r="G33" s="15">
        <v>19.0</v>
      </c>
      <c r="H33" s="15"/>
      <c r="I33" s="15">
        <v>16.0</v>
      </c>
      <c r="J33" s="15">
        <v>1.0</v>
      </c>
      <c r="K33" s="15">
        <v>3.0</v>
      </c>
      <c r="L33" s="15">
        <v>0.0</v>
      </c>
      <c r="M33" s="15"/>
      <c r="N33" s="13">
        <v>107.3</v>
      </c>
      <c r="O33" s="13">
        <v>75.2</v>
      </c>
      <c r="P33" s="13">
        <v>428.1</v>
      </c>
      <c r="Q33" s="13">
        <v>67.7</v>
      </c>
      <c r="R33" s="13">
        <v>9.4</v>
      </c>
      <c r="S33" s="13">
        <v>4.0</v>
      </c>
      <c r="T33" s="15">
        <v>19296.0</v>
      </c>
      <c r="U33" s="16">
        <f t="shared" si="1"/>
        <v>19296</v>
      </c>
      <c r="V33" s="16">
        <f t="shared" si="2"/>
        <v>0</v>
      </c>
      <c r="W33" s="16">
        <f>IF(ISNUMBER(F33),ROUND(F33/'05_Assumptions'!$B$4,0),"")</f>
        <v>1</v>
      </c>
      <c r="X33" s="16">
        <f t="shared" si="3"/>
        <v>0</v>
      </c>
      <c r="Y33" s="18" t="str">
        <f>IF(NOT(ISNUMBER(J33)),"",IF(J33=0,"no RHU",IF(F33/J33&gt;'05_Assumptions'!$B$4,"Yes","No")))</f>
        <v>No</v>
      </c>
      <c r="Z33" s="16">
        <f t="shared" si="4"/>
        <v>3</v>
      </c>
      <c r="AA33" s="19">
        <f t="shared" si="5"/>
        <v>0.1578947368</v>
      </c>
      <c r="AB33" s="20" t="str">
        <f>IF(AND(ISNUMBER(F33),F33&gt;0,ISNUMBER(M33)),M33/F33*'05_Assumptions'!$B$6,"")</f>
        <v/>
      </c>
      <c r="AC33" s="13" t="s">
        <v>631</v>
      </c>
      <c r="AD33" s="18">
        <f>IF(ISNUMBER(F33),ROUNDUP(F33/'05_Assumptions'!$B$4,0),"")</f>
        <v>1</v>
      </c>
      <c r="AE33" s="18">
        <f t="shared" si="6"/>
        <v>0</v>
      </c>
    </row>
    <row r="34" ht="15.75" customHeight="1">
      <c r="A34" s="13" t="s">
        <v>128</v>
      </c>
      <c r="B34" s="13" t="s">
        <v>526</v>
      </c>
      <c r="C34" s="13" t="s">
        <v>1478</v>
      </c>
      <c r="D34" s="13" t="s">
        <v>528</v>
      </c>
      <c r="E34" s="13" t="s">
        <v>531</v>
      </c>
      <c r="F34" s="15">
        <v>18020.0</v>
      </c>
      <c r="G34" s="15">
        <v>23.0</v>
      </c>
      <c r="H34" s="15"/>
      <c r="I34" s="15">
        <v>23.0</v>
      </c>
      <c r="J34" s="15">
        <v>1.0</v>
      </c>
      <c r="K34" s="15">
        <v>0.0</v>
      </c>
      <c r="L34" s="15">
        <v>0.0</v>
      </c>
      <c r="M34" s="15"/>
      <c r="N34" s="13">
        <v>84.1</v>
      </c>
      <c r="O34" s="13">
        <v>28.6</v>
      </c>
      <c r="P34" s="13">
        <v>95.6</v>
      </c>
      <c r="Q34" s="13">
        <v>15.1</v>
      </c>
      <c r="R34" s="13">
        <v>1.3</v>
      </c>
      <c r="S34" s="13">
        <v>0.0</v>
      </c>
      <c r="T34" s="15">
        <v>18020.0</v>
      </c>
      <c r="U34" s="16">
        <f t="shared" si="1"/>
        <v>18020</v>
      </c>
      <c r="V34" s="16">
        <f t="shared" si="2"/>
        <v>0</v>
      </c>
      <c r="W34" s="16">
        <f>IF(ISNUMBER(F34),ROUND(F34/'05_Assumptions'!$B$4,0),"")</f>
        <v>1</v>
      </c>
      <c r="X34" s="16">
        <f t="shared" si="3"/>
        <v>0</v>
      </c>
      <c r="Y34" s="18" t="str">
        <f>IF(NOT(ISNUMBER(J34)),"",IF(J34=0,"no RHU",IF(F34/J34&gt;'05_Assumptions'!$B$4,"Yes","No")))</f>
        <v>No</v>
      </c>
      <c r="Z34" s="16">
        <f t="shared" si="4"/>
        <v>0</v>
      </c>
      <c r="AA34" s="19">
        <f t="shared" si="5"/>
        <v>0</v>
      </c>
      <c r="AB34" s="20" t="str">
        <f>IF(AND(ISNUMBER(F34),F34&gt;0,ISNUMBER(M34)),M34/F34*'05_Assumptions'!$B$6,"")</f>
        <v/>
      </c>
      <c r="AC34" s="13" t="s">
        <v>631</v>
      </c>
      <c r="AD34" s="18">
        <f>IF(ISNUMBER(F34),ROUNDUP(F34/'05_Assumptions'!$B$4,0),"")</f>
        <v>1</v>
      </c>
      <c r="AE34" s="18">
        <f t="shared" si="6"/>
        <v>0</v>
      </c>
    </row>
    <row r="35" ht="15.75" customHeight="1">
      <c r="A35" s="13" t="s">
        <v>128</v>
      </c>
      <c r="B35" s="13" t="s">
        <v>526</v>
      </c>
      <c r="C35" s="13" t="s">
        <v>1560</v>
      </c>
      <c r="D35" s="13" t="s">
        <v>528</v>
      </c>
      <c r="E35" s="13" t="s">
        <v>531</v>
      </c>
      <c r="F35" s="15">
        <v>17585.0</v>
      </c>
      <c r="G35" s="15">
        <v>17.0</v>
      </c>
      <c r="H35" s="15"/>
      <c r="I35" s="15">
        <v>15.0</v>
      </c>
      <c r="J35" s="15">
        <v>1.0</v>
      </c>
      <c r="K35" s="15">
        <v>2.0</v>
      </c>
      <c r="L35" s="15">
        <v>0.0</v>
      </c>
      <c r="M35" s="15"/>
      <c r="N35" s="13">
        <v>100.0</v>
      </c>
      <c r="O35" s="13">
        <v>88.9</v>
      </c>
      <c r="P35" s="13">
        <v>338.5</v>
      </c>
      <c r="Q35" s="13">
        <v>53.6</v>
      </c>
      <c r="R35" s="13">
        <v>6.2</v>
      </c>
      <c r="S35" s="13">
        <v>8.1</v>
      </c>
      <c r="T35" s="15">
        <v>17585.0</v>
      </c>
      <c r="U35" s="16">
        <f t="shared" si="1"/>
        <v>17585</v>
      </c>
      <c r="V35" s="16">
        <f t="shared" si="2"/>
        <v>0</v>
      </c>
      <c r="W35" s="16">
        <f>IF(ISNUMBER(F35),ROUND(F35/'05_Assumptions'!$B$4,0),"")</f>
        <v>1</v>
      </c>
      <c r="X35" s="16">
        <f t="shared" si="3"/>
        <v>0</v>
      </c>
      <c r="Y35" s="18" t="str">
        <f>IF(NOT(ISNUMBER(J35)),"",IF(J35=0,"no RHU",IF(F35/J35&gt;'05_Assumptions'!$B$4,"Yes","No")))</f>
        <v>No</v>
      </c>
      <c r="Z35" s="16">
        <f t="shared" si="4"/>
        <v>2</v>
      </c>
      <c r="AA35" s="19">
        <f t="shared" si="5"/>
        <v>0.1176470588</v>
      </c>
      <c r="AB35" s="20" t="str">
        <f>IF(AND(ISNUMBER(F35),F35&gt;0,ISNUMBER(M35)),M35/F35*'05_Assumptions'!$B$6,"")</f>
        <v/>
      </c>
      <c r="AC35" s="13" t="s">
        <v>631</v>
      </c>
      <c r="AD35" s="18">
        <f>IF(ISNUMBER(F35),ROUNDUP(F35/'05_Assumptions'!$B$4,0),"")</f>
        <v>1</v>
      </c>
      <c r="AE35" s="18">
        <f t="shared" si="6"/>
        <v>0</v>
      </c>
    </row>
    <row r="36" ht="15.75" customHeight="1">
      <c r="A36" s="13" t="s">
        <v>128</v>
      </c>
      <c r="B36" s="13" t="s">
        <v>526</v>
      </c>
      <c r="C36" s="13" t="s">
        <v>1617</v>
      </c>
      <c r="D36" s="13" t="s">
        <v>528</v>
      </c>
      <c r="E36" s="13" t="s">
        <v>531</v>
      </c>
      <c r="F36" s="15">
        <v>17567.0</v>
      </c>
      <c r="G36" s="15">
        <v>21.0</v>
      </c>
      <c r="H36" s="15"/>
      <c r="I36" s="15">
        <v>21.0</v>
      </c>
      <c r="J36" s="15">
        <v>1.0</v>
      </c>
      <c r="K36" s="15">
        <v>0.0</v>
      </c>
      <c r="L36" s="15">
        <v>0.0</v>
      </c>
      <c r="M36" s="15"/>
      <c r="N36" s="13">
        <v>89.0</v>
      </c>
      <c r="O36" s="13">
        <v>100.0</v>
      </c>
      <c r="P36" s="13">
        <v>77.4</v>
      </c>
      <c r="Q36" s="13">
        <v>12.3</v>
      </c>
      <c r="R36" s="13">
        <v>34.7</v>
      </c>
      <c r="S36" s="13">
        <v>7.0</v>
      </c>
      <c r="T36" s="15">
        <v>17567.0</v>
      </c>
      <c r="U36" s="16">
        <f t="shared" si="1"/>
        <v>17567</v>
      </c>
      <c r="V36" s="16">
        <f t="shared" si="2"/>
        <v>0</v>
      </c>
      <c r="W36" s="16">
        <f>IF(ISNUMBER(F36),ROUND(F36/'05_Assumptions'!$B$4,0),"")</f>
        <v>1</v>
      </c>
      <c r="X36" s="16">
        <f t="shared" si="3"/>
        <v>0</v>
      </c>
      <c r="Y36" s="18" t="str">
        <f>IF(NOT(ISNUMBER(J36)),"",IF(J36=0,"no RHU",IF(F36/J36&gt;'05_Assumptions'!$B$4,"Yes","No")))</f>
        <v>No</v>
      </c>
      <c r="Z36" s="16">
        <f t="shared" si="4"/>
        <v>0</v>
      </c>
      <c r="AA36" s="19">
        <f t="shared" si="5"/>
        <v>0</v>
      </c>
      <c r="AB36" s="20" t="str">
        <f>IF(AND(ISNUMBER(F36),F36&gt;0,ISNUMBER(M36)),M36/F36*'05_Assumptions'!$B$6,"")</f>
        <v/>
      </c>
      <c r="AC36" s="13" t="s">
        <v>631</v>
      </c>
      <c r="AD36" s="18">
        <f>IF(ISNUMBER(F36),ROUNDUP(F36/'05_Assumptions'!$B$4,0),"")</f>
        <v>1</v>
      </c>
      <c r="AE36" s="18">
        <f t="shared" si="6"/>
        <v>0</v>
      </c>
    </row>
    <row r="37" ht="15.75" customHeight="1">
      <c r="A37" s="13" t="s">
        <v>128</v>
      </c>
      <c r="B37" s="13" t="s">
        <v>526</v>
      </c>
      <c r="C37" s="13" t="s">
        <v>1647</v>
      </c>
      <c r="D37" s="13" t="s">
        <v>528</v>
      </c>
      <c r="E37" s="13" t="s">
        <v>531</v>
      </c>
      <c r="F37" s="15">
        <v>15659.0</v>
      </c>
      <c r="G37" s="15">
        <v>18.0</v>
      </c>
      <c r="H37" s="15"/>
      <c r="I37" s="15">
        <v>18.0</v>
      </c>
      <c r="J37" s="15">
        <v>1.0</v>
      </c>
      <c r="K37" s="15">
        <v>0.0</v>
      </c>
      <c r="L37" s="15">
        <v>0.0</v>
      </c>
      <c r="M37" s="15"/>
      <c r="N37" s="13">
        <v>113.9</v>
      </c>
      <c r="O37" s="13">
        <v>0.0</v>
      </c>
      <c r="P37" s="13">
        <v>66.8</v>
      </c>
      <c r="Q37" s="13">
        <v>10.6</v>
      </c>
      <c r="R37" s="13">
        <v>8.3</v>
      </c>
      <c r="S37" s="13">
        <v>0.4</v>
      </c>
      <c r="T37" s="15">
        <v>15659.0</v>
      </c>
      <c r="U37" s="16">
        <f t="shared" si="1"/>
        <v>15659</v>
      </c>
      <c r="V37" s="16">
        <f t="shared" si="2"/>
        <v>0</v>
      </c>
      <c r="W37" s="16">
        <f>IF(ISNUMBER(F37),ROUND(F37/'05_Assumptions'!$B$4,0),"")</f>
        <v>1</v>
      </c>
      <c r="X37" s="16">
        <f t="shared" si="3"/>
        <v>0</v>
      </c>
      <c r="Y37" s="18" t="str">
        <f>IF(NOT(ISNUMBER(J37)),"",IF(J37=0,"no RHU",IF(F37/J37&gt;'05_Assumptions'!$B$4,"Yes","No")))</f>
        <v>No</v>
      </c>
      <c r="Z37" s="16">
        <f t="shared" si="4"/>
        <v>0</v>
      </c>
      <c r="AA37" s="19">
        <f t="shared" si="5"/>
        <v>0</v>
      </c>
      <c r="AB37" s="20" t="str">
        <f>IF(AND(ISNUMBER(F37),F37&gt;0,ISNUMBER(M37)),M37/F37*'05_Assumptions'!$B$6,"")</f>
        <v/>
      </c>
      <c r="AC37" s="13" t="s">
        <v>631</v>
      </c>
      <c r="AD37" s="18">
        <f>IF(ISNUMBER(F37),ROUNDUP(F37/'05_Assumptions'!$B$4,0),"")</f>
        <v>1</v>
      </c>
      <c r="AE37" s="18">
        <f t="shared" si="6"/>
        <v>0</v>
      </c>
    </row>
    <row r="38" ht="15.75" customHeight="1">
      <c r="A38" s="13" t="s">
        <v>128</v>
      </c>
      <c r="B38" s="13" t="s">
        <v>526</v>
      </c>
      <c r="C38" s="13" t="s">
        <v>1695</v>
      </c>
      <c r="D38" s="13" t="s">
        <v>528</v>
      </c>
      <c r="E38" s="13" t="s">
        <v>531</v>
      </c>
      <c r="F38" s="15">
        <v>14837.0</v>
      </c>
      <c r="G38" s="15">
        <v>17.0</v>
      </c>
      <c r="H38" s="15"/>
      <c r="I38" s="15">
        <v>16.0</v>
      </c>
      <c r="J38" s="15">
        <v>1.0</v>
      </c>
      <c r="K38" s="15">
        <v>1.0</v>
      </c>
      <c r="L38" s="15">
        <v>0.0</v>
      </c>
      <c r="M38" s="15"/>
      <c r="N38" s="13">
        <v>56.2</v>
      </c>
      <c r="O38" s="13">
        <v>96.7</v>
      </c>
      <c r="P38" s="13">
        <v>42.2</v>
      </c>
      <c r="Q38" s="13">
        <v>6.7</v>
      </c>
      <c r="R38" s="13">
        <v>9.9</v>
      </c>
      <c r="S38" s="13">
        <v>1.3</v>
      </c>
      <c r="T38" s="15">
        <v>14837.0</v>
      </c>
      <c r="U38" s="16">
        <f t="shared" si="1"/>
        <v>14837</v>
      </c>
      <c r="V38" s="16">
        <f t="shared" si="2"/>
        <v>0</v>
      </c>
      <c r="W38" s="16">
        <f>IF(ISNUMBER(F38),ROUND(F38/'05_Assumptions'!$B$4,0),"")</f>
        <v>1</v>
      </c>
      <c r="X38" s="16">
        <f t="shared" si="3"/>
        <v>0</v>
      </c>
      <c r="Y38" s="18" t="str">
        <f>IF(NOT(ISNUMBER(J38)),"",IF(J38=0,"no RHU",IF(F38/J38&gt;'05_Assumptions'!$B$4,"Yes","No")))</f>
        <v>No</v>
      </c>
      <c r="Z38" s="16">
        <f t="shared" si="4"/>
        <v>1</v>
      </c>
      <c r="AA38" s="19">
        <f t="shared" si="5"/>
        <v>0.05882352941</v>
      </c>
      <c r="AB38" s="20" t="str">
        <f>IF(AND(ISNUMBER(F38),F38&gt;0,ISNUMBER(M38)),M38/F38*'05_Assumptions'!$B$6,"")</f>
        <v/>
      </c>
      <c r="AC38" s="13" t="s">
        <v>631</v>
      </c>
      <c r="AD38" s="18">
        <f>IF(ISNUMBER(F38),ROUNDUP(F38/'05_Assumptions'!$B$4,0),"")</f>
        <v>1</v>
      </c>
      <c r="AE38" s="18">
        <f t="shared" si="6"/>
        <v>0</v>
      </c>
    </row>
    <row r="39" ht="15.75" customHeight="1">
      <c r="A39" s="13" t="s">
        <v>128</v>
      </c>
      <c r="B39" s="13" t="s">
        <v>526</v>
      </c>
      <c r="C39" s="13" t="s">
        <v>1747</v>
      </c>
      <c r="D39" s="13" t="s">
        <v>528</v>
      </c>
      <c r="E39" s="13" t="s">
        <v>531</v>
      </c>
      <c r="F39" s="15">
        <v>12984.0</v>
      </c>
      <c r="G39" s="15">
        <v>7.0</v>
      </c>
      <c r="H39" s="15"/>
      <c r="I39" s="15">
        <v>7.0</v>
      </c>
      <c r="J39" s="15">
        <v>1.0</v>
      </c>
      <c r="K39" s="15">
        <v>0.0</v>
      </c>
      <c r="L39" s="15">
        <v>0.0</v>
      </c>
      <c r="M39" s="15"/>
      <c r="N39" s="13">
        <v>61.1</v>
      </c>
      <c r="O39" s="13">
        <v>52.7</v>
      </c>
      <c r="P39" s="13">
        <v>46.6</v>
      </c>
      <c r="Q39" s="13">
        <v>7.4</v>
      </c>
      <c r="R39" s="13">
        <v>11.5</v>
      </c>
      <c r="S39" s="13">
        <v>14.2</v>
      </c>
      <c r="T39" s="15">
        <v>12984.0</v>
      </c>
      <c r="U39" s="16">
        <f t="shared" si="1"/>
        <v>12984</v>
      </c>
      <c r="V39" s="16">
        <f t="shared" si="2"/>
        <v>0</v>
      </c>
      <c r="W39" s="16">
        <f>IF(ISNUMBER(F39),ROUND(F39/'05_Assumptions'!$B$4,0),"")</f>
        <v>1</v>
      </c>
      <c r="X39" s="16">
        <f t="shared" si="3"/>
        <v>0</v>
      </c>
      <c r="Y39" s="18" t="str">
        <f>IF(NOT(ISNUMBER(J39)),"",IF(J39=0,"no RHU",IF(F39/J39&gt;'05_Assumptions'!$B$4,"Yes","No")))</f>
        <v>No</v>
      </c>
      <c r="Z39" s="16">
        <f t="shared" si="4"/>
        <v>0</v>
      </c>
      <c r="AA39" s="19">
        <f t="shared" si="5"/>
        <v>0</v>
      </c>
      <c r="AB39" s="20" t="str">
        <f>IF(AND(ISNUMBER(F39),F39&gt;0,ISNUMBER(M39)),M39/F39*'05_Assumptions'!$B$6,"")</f>
        <v/>
      </c>
      <c r="AC39" s="13" t="s">
        <v>631</v>
      </c>
      <c r="AD39" s="18">
        <f>IF(ISNUMBER(F39),ROUNDUP(F39/'05_Assumptions'!$B$4,0),"")</f>
        <v>1</v>
      </c>
      <c r="AE39" s="18">
        <f t="shared" si="6"/>
        <v>0</v>
      </c>
    </row>
    <row r="40" ht="15.75" customHeight="1">
      <c r="A40" s="13" t="s">
        <v>128</v>
      </c>
      <c r="B40" s="13" t="s">
        <v>526</v>
      </c>
      <c r="C40" s="13" t="s">
        <v>1781</v>
      </c>
      <c r="D40" s="13" t="s">
        <v>528</v>
      </c>
      <c r="E40" s="13" t="s">
        <v>531</v>
      </c>
      <c r="F40" s="15">
        <v>12843.0</v>
      </c>
      <c r="G40" s="15">
        <v>19.0</v>
      </c>
      <c r="H40" s="15"/>
      <c r="I40" s="15">
        <v>19.0</v>
      </c>
      <c r="J40" s="15">
        <v>1.0</v>
      </c>
      <c r="K40" s="15">
        <v>0.0</v>
      </c>
      <c r="L40" s="15">
        <v>0.0</v>
      </c>
      <c r="M40" s="15"/>
      <c r="N40" s="13">
        <v>88.1</v>
      </c>
      <c r="O40" s="13">
        <v>86.1</v>
      </c>
      <c r="P40" s="13">
        <v>31.4</v>
      </c>
      <c r="Q40" s="13">
        <v>4.9</v>
      </c>
      <c r="R40" s="13">
        <v>2.6</v>
      </c>
      <c r="S40" s="13">
        <v>5.8</v>
      </c>
      <c r="T40" s="15">
        <v>12843.0</v>
      </c>
      <c r="U40" s="16">
        <f t="shared" si="1"/>
        <v>12843</v>
      </c>
      <c r="V40" s="16">
        <f t="shared" si="2"/>
        <v>0</v>
      </c>
      <c r="W40" s="16">
        <f>IF(ISNUMBER(F40),ROUND(F40/'05_Assumptions'!$B$4,0),"")</f>
        <v>1</v>
      </c>
      <c r="X40" s="16">
        <f t="shared" si="3"/>
        <v>0</v>
      </c>
      <c r="Y40" s="18" t="str">
        <f>IF(NOT(ISNUMBER(J40)),"",IF(J40=0,"no RHU",IF(F40/J40&gt;'05_Assumptions'!$B$4,"Yes","No")))</f>
        <v>No</v>
      </c>
      <c r="Z40" s="16">
        <f t="shared" si="4"/>
        <v>0</v>
      </c>
      <c r="AA40" s="19">
        <f t="shared" si="5"/>
        <v>0</v>
      </c>
      <c r="AB40" s="20" t="str">
        <f>IF(AND(ISNUMBER(F40),F40&gt;0,ISNUMBER(M40)),M40/F40*'05_Assumptions'!$B$6,"")</f>
        <v/>
      </c>
      <c r="AC40" s="13" t="s">
        <v>631</v>
      </c>
      <c r="AD40" s="18">
        <f>IF(ISNUMBER(F40),ROUNDUP(F40/'05_Assumptions'!$B$4,0),"")</f>
        <v>1</v>
      </c>
      <c r="AE40" s="18">
        <f t="shared" si="6"/>
        <v>0</v>
      </c>
    </row>
    <row r="41" ht="15.75" customHeight="1">
      <c r="A41" s="13" t="s">
        <v>128</v>
      </c>
      <c r="B41" s="13" t="s">
        <v>526</v>
      </c>
      <c r="C41" s="13" t="s">
        <v>1814</v>
      </c>
      <c r="D41" s="13" t="s">
        <v>528</v>
      </c>
      <c r="E41" s="13" t="s">
        <v>531</v>
      </c>
      <c r="F41" s="15">
        <v>8768.0</v>
      </c>
      <c r="G41" s="15">
        <v>9.0</v>
      </c>
      <c r="H41" s="15"/>
      <c r="I41" s="15">
        <v>9.0</v>
      </c>
      <c r="J41" s="15">
        <v>1.0</v>
      </c>
      <c r="K41" s="15">
        <v>0.0</v>
      </c>
      <c r="L41" s="15">
        <v>0.0</v>
      </c>
      <c r="M41" s="15"/>
      <c r="N41" s="13">
        <v>70.2</v>
      </c>
      <c r="O41" s="13">
        <v>46.6</v>
      </c>
      <c r="P41" s="13">
        <v>24.2</v>
      </c>
      <c r="Q41" s="13">
        <v>3.8</v>
      </c>
      <c r="R41" s="13">
        <v>0.1</v>
      </c>
      <c r="S41" s="13">
        <v>6.2</v>
      </c>
      <c r="T41" s="15">
        <v>8768.0</v>
      </c>
      <c r="U41" s="16">
        <f t="shared" si="1"/>
        <v>8768</v>
      </c>
      <c r="V41" s="16">
        <f t="shared" si="2"/>
        <v>0</v>
      </c>
      <c r="W41" s="16">
        <f>IF(ISNUMBER(F41),ROUND(F41/'05_Assumptions'!$B$4,0),"")</f>
        <v>0</v>
      </c>
      <c r="X41" s="16">
        <f t="shared" si="3"/>
        <v>0</v>
      </c>
      <c r="Y41" s="18" t="str">
        <f>IF(NOT(ISNUMBER(J41)),"",IF(J41=0,"no RHU",IF(F41/J41&gt;'05_Assumptions'!$B$4,"Yes","No")))</f>
        <v>No</v>
      </c>
      <c r="Z41" s="16">
        <f t="shared" si="4"/>
        <v>0</v>
      </c>
      <c r="AA41" s="19">
        <f t="shared" si="5"/>
        <v>0</v>
      </c>
      <c r="AB41" s="20" t="str">
        <f>IF(AND(ISNUMBER(F41),F41&gt;0,ISNUMBER(M41)),M41/F41*'05_Assumptions'!$B$6,"")</f>
        <v/>
      </c>
      <c r="AC41" s="13" t="s">
        <v>631</v>
      </c>
      <c r="AD41" s="18">
        <f>IF(ISNUMBER(F41),ROUNDUP(F41/'05_Assumptions'!$B$4,0),"")</f>
        <v>1</v>
      </c>
      <c r="AE41" s="18">
        <f t="shared" si="6"/>
        <v>0</v>
      </c>
    </row>
    <row r="42" ht="15.75" customHeight="1">
      <c r="A42" s="13" t="s">
        <v>128</v>
      </c>
      <c r="B42" s="13" t="s">
        <v>526</v>
      </c>
      <c r="C42" s="13" t="s">
        <v>1829</v>
      </c>
      <c r="D42" s="13" t="s">
        <v>1831</v>
      </c>
      <c r="E42" s="13" t="s">
        <v>531</v>
      </c>
      <c r="F42" s="15">
        <v>1368137.0</v>
      </c>
      <c r="G42" s="15">
        <v>1159.0</v>
      </c>
      <c r="H42" s="15"/>
      <c r="I42" s="15">
        <v>1024.0</v>
      </c>
      <c r="J42" s="15">
        <v>44.0</v>
      </c>
      <c r="K42" s="15">
        <v>140.0</v>
      </c>
      <c r="L42" s="15">
        <v>11.0</v>
      </c>
      <c r="M42" s="15"/>
      <c r="N42" s="13">
        <v>80.4</v>
      </c>
      <c r="O42" s="13">
        <v>82.1</v>
      </c>
      <c r="P42" s="13">
        <v>162.9</v>
      </c>
      <c r="Q42" s="13">
        <v>25.7</v>
      </c>
      <c r="R42" s="13">
        <v>4.3</v>
      </c>
      <c r="S42" s="13">
        <v>5.3</v>
      </c>
      <c r="T42" s="15">
        <v>31094.0</v>
      </c>
      <c r="U42" s="16">
        <f t="shared" si="1"/>
        <v>31094.02273</v>
      </c>
      <c r="V42" s="16">
        <f t="shared" si="2"/>
        <v>0.02272727273</v>
      </c>
      <c r="W42" s="16">
        <f>IF(ISNUMBER(F42),ROUND(F42/'05_Assumptions'!$B$4,0),"")</f>
        <v>68</v>
      </c>
      <c r="X42" s="16">
        <f t="shared" si="3"/>
        <v>24</v>
      </c>
      <c r="Y42" s="18" t="str">
        <f>IF(NOT(ISNUMBER(J42)),"",IF(J42=0,"no RHU",IF(F42/J42&gt;'05_Assumptions'!$B$4,"Yes","No")))</f>
        <v>Yes</v>
      </c>
      <c r="Z42" s="16">
        <f t="shared" si="4"/>
        <v>135</v>
      </c>
      <c r="AA42" s="19">
        <f t="shared" si="5"/>
        <v>0.1164797239</v>
      </c>
      <c r="AB42" s="20" t="str">
        <f>IF(AND(ISNUMBER(F42),F42&gt;0,ISNUMBER(M42)),M42/F42*'05_Assumptions'!$B$6,"")</f>
        <v/>
      </c>
      <c r="AC42" s="13" t="s">
        <v>631</v>
      </c>
      <c r="AD42" s="18">
        <f>IF(ISNUMBER(F42),ROUNDUP(F42/'05_Assumptions'!$B$4,0),"")</f>
        <v>69</v>
      </c>
      <c r="AE42" s="18">
        <f t="shared" si="6"/>
        <v>25</v>
      </c>
    </row>
    <row r="43" ht="15.75" customHeight="1">
      <c r="A43" s="13" t="s">
        <v>158</v>
      </c>
      <c r="B43" s="13" t="s">
        <v>622</v>
      </c>
      <c r="C43" s="13" t="s">
        <v>1159</v>
      </c>
      <c r="D43" s="13" t="s">
        <v>528</v>
      </c>
      <c r="E43" s="13" t="s">
        <v>1854</v>
      </c>
      <c r="F43" s="15">
        <v>152907.0</v>
      </c>
      <c r="G43" s="15">
        <v>34.0</v>
      </c>
      <c r="H43" s="15"/>
      <c r="I43" s="15">
        <v>1.0</v>
      </c>
      <c r="J43" s="15">
        <v>1.0</v>
      </c>
      <c r="K43" s="15">
        <v>33.0</v>
      </c>
      <c r="L43" s="15">
        <v>2.0</v>
      </c>
      <c r="M43" s="15">
        <v>100.0</v>
      </c>
      <c r="N43" s="13">
        <v>56.3</v>
      </c>
      <c r="O43" s="13">
        <v>69.2</v>
      </c>
      <c r="P43" s="13">
        <v>204.4</v>
      </c>
      <c r="Q43" s="13">
        <v>32.7</v>
      </c>
      <c r="R43" s="13">
        <v>0.87</v>
      </c>
      <c r="S43" s="13">
        <v>1.77</v>
      </c>
      <c r="T43" s="15">
        <v>152907.0</v>
      </c>
      <c r="U43" s="16">
        <f t="shared" si="1"/>
        <v>152907</v>
      </c>
      <c r="V43" s="16">
        <f t="shared" si="2"/>
        <v>0</v>
      </c>
      <c r="W43" s="16">
        <f>IF(ISNUMBER(F43),ROUND(F43/'05_Assumptions'!$B$4,0),"")</f>
        <v>8</v>
      </c>
      <c r="X43" s="16">
        <f t="shared" si="3"/>
        <v>7</v>
      </c>
      <c r="Y43" s="18" t="str">
        <f>IF(NOT(ISNUMBER(J43)),"",IF(J43=0,"no RHU",IF(F43/J43&gt;'05_Assumptions'!$B$4,"Yes","No")))</f>
        <v>Yes</v>
      </c>
      <c r="Z43" s="16">
        <f t="shared" si="4"/>
        <v>33</v>
      </c>
      <c r="AA43" s="19">
        <f t="shared" si="5"/>
        <v>0.9705882353</v>
      </c>
      <c r="AB43" s="20">
        <f>IF(AND(ISNUMBER(F43),F43&gt;0,ISNUMBER(M43)),M43/F43*'05_Assumptions'!$B$6,"")</f>
        <v>0.653992296</v>
      </c>
      <c r="AC43" s="13" t="s">
        <v>1865</v>
      </c>
      <c r="AD43" s="18">
        <f>IF(ISNUMBER(F43),ROUNDUP(F43/'05_Assumptions'!$B$4,0),"")</f>
        <v>8</v>
      </c>
      <c r="AE43" s="18">
        <f t="shared" si="6"/>
        <v>7</v>
      </c>
    </row>
    <row r="44" ht="15.75" customHeight="1">
      <c r="A44" s="13" t="s">
        <v>158</v>
      </c>
      <c r="B44" s="13" t="s">
        <v>622</v>
      </c>
      <c r="C44" s="13" t="s">
        <v>1153</v>
      </c>
      <c r="D44" s="13" t="s">
        <v>528</v>
      </c>
      <c r="E44" s="13" t="s">
        <v>1854</v>
      </c>
      <c r="F44" s="15">
        <v>124965.0</v>
      </c>
      <c r="G44" s="15">
        <v>39.0</v>
      </c>
      <c r="H44" s="15"/>
      <c r="I44" s="15">
        <v>9.0</v>
      </c>
      <c r="J44" s="15">
        <v>1.0</v>
      </c>
      <c r="K44" s="15">
        <v>30.0</v>
      </c>
      <c r="L44" s="15">
        <v>1.0</v>
      </c>
      <c r="M44" s="15">
        <v>200.0</v>
      </c>
      <c r="N44" s="13">
        <v>71.4</v>
      </c>
      <c r="O44" s="13">
        <v>70.7</v>
      </c>
      <c r="P44" s="13">
        <v>163.3</v>
      </c>
      <c r="Q44" s="13">
        <v>26.1</v>
      </c>
      <c r="R44" s="13">
        <v>4.85</v>
      </c>
      <c r="S44" s="13">
        <v>1.24</v>
      </c>
      <c r="T44" s="15">
        <v>124965.0</v>
      </c>
      <c r="U44" s="16">
        <f t="shared" si="1"/>
        <v>124965</v>
      </c>
      <c r="V44" s="16">
        <f t="shared" si="2"/>
        <v>0</v>
      </c>
      <c r="W44" s="16">
        <f>IF(ISNUMBER(F44),ROUND(F44/'05_Assumptions'!$B$4,0),"")</f>
        <v>6</v>
      </c>
      <c r="X44" s="16">
        <f t="shared" si="3"/>
        <v>5</v>
      </c>
      <c r="Y44" s="18" t="str">
        <f>IF(NOT(ISNUMBER(J44)),"",IF(J44=0,"no RHU",IF(F44/J44&gt;'05_Assumptions'!$B$4,"Yes","No")))</f>
        <v>Yes</v>
      </c>
      <c r="Z44" s="16">
        <f t="shared" si="4"/>
        <v>30</v>
      </c>
      <c r="AA44" s="19">
        <f t="shared" si="5"/>
        <v>0.7692307692</v>
      </c>
      <c r="AB44" s="20">
        <f>IF(AND(ISNUMBER(F44),F44&gt;0,ISNUMBER(M44)),M44/F44*'05_Assumptions'!$B$6,"")</f>
        <v>1.600448125</v>
      </c>
      <c r="AC44" s="13" t="s">
        <v>1865</v>
      </c>
      <c r="AD44" s="18">
        <f>IF(ISNUMBER(F44),ROUNDUP(F44/'05_Assumptions'!$B$4,0),"")</f>
        <v>7</v>
      </c>
      <c r="AE44" s="18">
        <f t="shared" si="6"/>
        <v>6</v>
      </c>
    </row>
    <row r="45" ht="15.75" customHeight="1">
      <c r="A45" s="13" t="s">
        <v>158</v>
      </c>
      <c r="B45" s="13" t="s">
        <v>622</v>
      </c>
      <c r="C45" s="13" t="s">
        <v>1167</v>
      </c>
      <c r="D45" s="13" t="s">
        <v>528</v>
      </c>
      <c r="E45" s="13" t="s">
        <v>1854</v>
      </c>
      <c r="F45" s="15">
        <v>123209.0</v>
      </c>
      <c r="G45" s="15">
        <v>25.0</v>
      </c>
      <c r="H45" s="15"/>
      <c r="I45" s="15">
        <v>2.0</v>
      </c>
      <c r="J45" s="15">
        <v>1.0</v>
      </c>
      <c r="K45" s="15">
        <v>24.0</v>
      </c>
      <c r="L45" s="15">
        <v>2.0</v>
      </c>
      <c r="M45" s="15">
        <v>35.0</v>
      </c>
      <c r="N45" s="13">
        <v>51.7</v>
      </c>
      <c r="O45" s="13">
        <v>76.4</v>
      </c>
      <c r="P45" s="13">
        <v>189.4</v>
      </c>
      <c r="Q45" s="13">
        <v>30.3</v>
      </c>
      <c r="R45" s="13">
        <v>2.48</v>
      </c>
      <c r="S45" s="13">
        <v>5.66</v>
      </c>
      <c r="T45" s="15">
        <v>123209.0</v>
      </c>
      <c r="U45" s="16">
        <f t="shared" si="1"/>
        <v>123209</v>
      </c>
      <c r="V45" s="16">
        <f t="shared" si="2"/>
        <v>0</v>
      </c>
      <c r="W45" s="16">
        <f>IF(ISNUMBER(F45),ROUND(F45/'05_Assumptions'!$B$4,0),"")</f>
        <v>6</v>
      </c>
      <c r="X45" s="16">
        <f t="shared" si="3"/>
        <v>5</v>
      </c>
      <c r="Y45" s="18" t="str">
        <f>IF(NOT(ISNUMBER(J45)),"",IF(J45=0,"no RHU",IF(F45/J45&gt;'05_Assumptions'!$B$4,"Yes","No")))</f>
        <v>Yes</v>
      </c>
      <c r="Z45" s="16">
        <f t="shared" si="4"/>
        <v>23</v>
      </c>
      <c r="AA45" s="19">
        <f t="shared" si="5"/>
        <v>0.92</v>
      </c>
      <c r="AB45" s="20">
        <f>IF(AND(ISNUMBER(F45),F45&gt;0,ISNUMBER(M45)),M45/F45*'05_Assumptions'!$B$6,"")</f>
        <v>0.2840701572</v>
      </c>
      <c r="AC45" s="13" t="s">
        <v>1865</v>
      </c>
      <c r="AD45" s="18">
        <f>IF(ISNUMBER(F45),ROUNDUP(F45/'05_Assumptions'!$B$4,0),"")</f>
        <v>7</v>
      </c>
      <c r="AE45" s="18">
        <f t="shared" si="6"/>
        <v>6</v>
      </c>
    </row>
    <row r="46" ht="15.75" customHeight="1">
      <c r="A46" s="13" t="s">
        <v>158</v>
      </c>
      <c r="B46" s="13" t="s">
        <v>622</v>
      </c>
      <c r="C46" s="13" t="s">
        <v>1165</v>
      </c>
      <c r="D46" s="13" t="s">
        <v>528</v>
      </c>
      <c r="E46" s="13" t="s">
        <v>1854</v>
      </c>
      <c r="F46" s="15">
        <v>65363.0</v>
      </c>
      <c r="G46" s="15">
        <v>23.0</v>
      </c>
      <c r="H46" s="15"/>
      <c r="I46" s="15">
        <v>6.0</v>
      </c>
      <c r="J46" s="15">
        <v>1.0</v>
      </c>
      <c r="K46" s="15">
        <v>17.0</v>
      </c>
      <c r="L46" s="15">
        <v>1.0</v>
      </c>
      <c r="M46" s="15">
        <v>25.0</v>
      </c>
      <c r="N46" s="13">
        <v>58.5</v>
      </c>
      <c r="O46" s="13">
        <v>78.8</v>
      </c>
      <c r="P46" s="13">
        <v>268.0</v>
      </c>
      <c r="Q46" s="13">
        <v>42.9</v>
      </c>
      <c r="R46" s="13">
        <v>1.15</v>
      </c>
      <c r="S46" s="13">
        <v>9.36</v>
      </c>
      <c r="T46" s="15">
        <v>65363.0</v>
      </c>
      <c r="U46" s="16">
        <f t="shared" si="1"/>
        <v>65363</v>
      </c>
      <c r="V46" s="16">
        <f t="shared" si="2"/>
        <v>0</v>
      </c>
      <c r="W46" s="16">
        <f>IF(ISNUMBER(F46),ROUND(F46/'05_Assumptions'!$B$4,0),"")</f>
        <v>3</v>
      </c>
      <c r="X46" s="16">
        <f t="shared" si="3"/>
        <v>2</v>
      </c>
      <c r="Y46" s="18" t="str">
        <f>IF(NOT(ISNUMBER(J46)),"",IF(J46=0,"no RHU",IF(F46/J46&gt;'05_Assumptions'!$B$4,"Yes","No")))</f>
        <v>Yes</v>
      </c>
      <c r="Z46" s="16">
        <f t="shared" si="4"/>
        <v>17</v>
      </c>
      <c r="AA46" s="19">
        <f t="shared" si="5"/>
        <v>0.7391304348</v>
      </c>
      <c r="AB46" s="20">
        <f>IF(AND(ISNUMBER(F46),F46&gt;0,ISNUMBER(M46)),M46/F46*'05_Assumptions'!$B$6,"")</f>
        <v>0.3824793844</v>
      </c>
      <c r="AC46" s="13" t="s">
        <v>1865</v>
      </c>
      <c r="AD46" s="18">
        <f>IF(ISNUMBER(F46),ROUNDUP(F46/'05_Assumptions'!$B$4,0),"")</f>
        <v>4</v>
      </c>
      <c r="AE46" s="18">
        <f t="shared" si="6"/>
        <v>3</v>
      </c>
    </row>
    <row r="47" ht="15.75" customHeight="1">
      <c r="A47" s="13" t="s">
        <v>158</v>
      </c>
      <c r="B47" s="13" t="s">
        <v>622</v>
      </c>
      <c r="C47" s="13" t="s">
        <v>1853</v>
      </c>
      <c r="D47" s="13" t="s">
        <v>528</v>
      </c>
      <c r="E47" s="13" t="s">
        <v>1854</v>
      </c>
      <c r="F47" s="15">
        <v>45676.0</v>
      </c>
      <c r="G47" s="15">
        <v>15.0</v>
      </c>
      <c r="H47" s="15"/>
      <c r="I47" s="15">
        <v>3.0</v>
      </c>
      <c r="J47" s="15">
        <v>1.0</v>
      </c>
      <c r="K47" s="15">
        <v>12.0</v>
      </c>
      <c r="L47" s="15">
        <v>0.0</v>
      </c>
      <c r="M47" s="15"/>
      <c r="N47" s="13">
        <v>42.2</v>
      </c>
      <c r="O47" s="13">
        <v>35.9</v>
      </c>
      <c r="P47" s="13">
        <v>95.8</v>
      </c>
      <c r="Q47" s="13">
        <v>15.3</v>
      </c>
      <c r="R47" s="13">
        <v>1.24</v>
      </c>
      <c r="S47" s="13">
        <v>5.94</v>
      </c>
      <c r="T47" s="15">
        <v>45676.0</v>
      </c>
      <c r="U47" s="16">
        <f t="shared" si="1"/>
        <v>45676</v>
      </c>
      <c r="V47" s="16">
        <f t="shared" si="2"/>
        <v>0</v>
      </c>
      <c r="W47" s="16">
        <f>IF(ISNUMBER(F47),ROUND(F47/'05_Assumptions'!$B$4,0),"")</f>
        <v>2</v>
      </c>
      <c r="X47" s="16">
        <f t="shared" si="3"/>
        <v>1</v>
      </c>
      <c r="Y47" s="18" t="str">
        <f>IF(NOT(ISNUMBER(J47)),"",IF(J47=0,"no RHU",IF(F47/J47&gt;'05_Assumptions'!$B$4,"Yes","No")))</f>
        <v>Yes</v>
      </c>
      <c r="Z47" s="16">
        <f t="shared" si="4"/>
        <v>12</v>
      </c>
      <c r="AA47" s="19">
        <f t="shared" si="5"/>
        <v>0.8</v>
      </c>
      <c r="AB47" s="20" t="str">
        <f>IF(AND(ISNUMBER(F47),F47&gt;0,ISNUMBER(M47)),M47/F47*'05_Assumptions'!$B$6,"")</f>
        <v/>
      </c>
      <c r="AC47" s="13" t="s">
        <v>1865</v>
      </c>
      <c r="AD47" s="18">
        <f>IF(ISNUMBER(F47),ROUNDUP(F47/'05_Assumptions'!$B$4,0),"")</f>
        <v>3</v>
      </c>
      <c r="AE47" s="18">
        <f t="shared" si="6"/>
        <v>2</v>
      </c>
    </row>
    <row r="48" ht="15.75" customHeight="1">
      <c r="A48" s="13" t="s">
        <v>158</v>
      </c>
      <c r="B48" s="13" t="s">
        <v>622</v>
      </c>
      <c r="C48" s="13" t="s">
        <v>1824</v>
      </c>
      <c r="D48" s="13" t="s">
        <v>528</v>
      </c>
      <c r="E48" s="13" t="s">
        <v>1854</v>
      </c>
      <c r="F48" s="15">
        <v>43301.0</v>
      </c>
      <c r="G48" s="15">
        <v>14.0</v>
      </c>
      <c r="H48" s="15"/>
      <c r="I48" s="15">
        <v>2.0</v>
      </c>
      <c r="J48" s="15">
        <v>1.0</v>
      </c>
      <c r="K48" s="15">
        <v>13.0</v>
      </c>
      <c r="L48" s="15">
        <v>0.0</v>
      </c>
      <c r="M48" s="15"/>
      <c r="N48" s="13">
        <v>56.9</v>
      </c>
      <c r="O48" s="13">
        <v>34.2</v>
      </c>
      <c r="P48" s="13">
        <v>109.8</v>
      </c>
      <c r="Q48" s="13">
        <v>17.6</v>
      </c>
      <c r="R48" s="13">
        <v>2.8</v>
      </c>
      <c r="S48" s="13">
        <v>10.25</v>
      </c>
      <c r="T48" s="15">
        <v>43301.0</v>
      </c>
      <c r="U48" s="16">
        <f t="shared" si="1"/>
        <v>43301</v>
      </c>
      <c r="V48" s="16">
        <f t="shared" si="2"/>
        <v>0</v>
      </c>
      <c r="W48" s="16">
        <f>IF(ISNUMBER(F48),ROUND(F48/'05_Assumptions'!$B$4,0),"")</f>
        <v>2</v>
      </c>
      <c r="X48" s="16">
        <f t="shared" si="3"/>
        <v>1</v>
      </c>
      <c r="Y48" s="18" t="str">
        <f>IF(NOT(ISNUMBER(J48)),"",IF(J48=0,"no RHU",IF(F48/J48&gt;'05_Assumptions'!$B$4,"Yes","No")))</f>
        <v>Yes</v>
      </c>
      <c r="Z48" s="16">
        <f t="shared" si="4"/>
        <v>12</v>
      </c>
      <c r="AA48" s="19">
        <f t="shared" si="5"/>
        <v>0.8571428571</v>
      </c>
      <c r="AB48" s="20" t="str">
        <f>IF(AND(ISNUMBER(F48),F48&gt;0,ISNUMBER(M48)),M48/F48*'05_Assumptions'!$B$6,"")</f>
        <v/>
      </c>
      <c r="AC48" s="13" t="s">
        <v>1865</v>
      </c>
      <c r="AD48" s="18">
        <f>IF(ISNUMBER(F48),ROUNDUP(F48/'05_Assumptions'!$B$4,0),"")</f>
        <v>3</v>
      </c>
      <c r="AE48" s="18">
        <f t="shared" si="6"/>
        <v>2</v>
      </c>
    </row>
    <row r="49" ht="15.75" customHeight="1">
      <c r="A49" s="13" t="s">
        <v>158</v>
      </c>
      <c r="B49" s="13" t="s">
        <v>622</v>
      </c>
      <c r="C49" s="13" t="s">
        <v>1857</v>
      </c>
      <c r="D49" s="13" t="s">
        <v>528</v>
      </c>
      <c r="E49" s="13" t="s">
        <v>1854</v>
      </c>
      <c r="F49" s="15">
        <v>41146.0</v>
      </c>
      <c r="G49" s="15">
        <v>8.0</v>
      </c>
      <c r="H49" s="15"/>
      <c r="I49" s="15">
        <v>1.0</v>
      </c>
      <c r="J49" s="15">
        <v>1.0</v>
      </c>
      <c r="K49" s="15">
        <v>7.0</v>
      </c>
      <c r="L49" s="15">
        <v>0.0</v>
      </c>
      <c r="M49" s="15"/>
      <c r="N49" s="13">
        <v>50.4</v>
      </c>
      <c r="O49" s="13">
        <v>63.5</v>
      </c>
      <c r="P49" s="13">
        <v>147.6</v>
      </c>
      <c r="Q49" s="13">
        <v>23.6</v>
      </c>
      <c r="R49" s="13">
        <v>0.79</v>
      </c>
      <c r="S49" s="13">
        <v>2.84</v>
      </c>
      <c r="T49" s="15">
        <v>41146.0</v>
      </c>
      <c r="U49" s="16">
        <f t="shared" si="1"/>
        <v>41146</v>
      </c>
      <c r="V49" s="16">
        <f t="shared" si="2"/>
        <v>0</v>
      </c>
      <c r="W49" s="16">
        <f>IF(ISNUMBER(F49),ROUND(F49/'05_Assumptions'!$B$4,0),"")</f>
        <v>2</v>
      </c>
      <c r="X49" s="16">
        <f t="shared" si="3"/>
        <v>1</v>
      </c>
      <c r="Y49" s="18" t="str">
        <f>IF(NOT(ISNUMBER(J49)),"",IF(J49=0,"no RHU",IF(F49/J49&gt;'05_Assumptions'!$B$4,"Yes","No")))</f>
        <v>Yes</v>
      </c>
      <c r="Z49" s="16">
        <f t="shared" si="4"/>
        <v>7</v>
      </c>
      <c r="AA49" s="19">
        <f t="shared" si="5"/>
        <v>0.875</v>
      </c>
      <c r="AB49" s="20" t="str">
        <f>IF(AND(ISNUMBER(F49),F49&gt;0,ISNUMBER(M49)),M49/F49*'05_Assumptions'!$B$6,"")</f>
        <v/>
      </c>
      <c r="AC49" s="13" t="s">
        <v>1865</v>
      </c>
      <c r="AD49" s="18">
        <f>IF(ISNUMBER(F49),ROUNDUP(F49/'05_Assumptions'!$B$4,0),"")</f>
        <v>3</v>
      </c>
      <c r="AE49" s="18">
        <f t="shared" si="6"/>
        <v>2</v>
      </c>
    </row>
    <row r="50" ht="15.75" customHeight="1">
      <c r="A50" s="13" t="s">
        <v>158</v>
      </c>
      <c r="B50" s="13" t="s">
        <v>622</v>
      </c>
      <c r="C50" s="13" t="s">
        <v>1822</v>
      </c>
      <c r="D50" s="13" t="s">
        <v>528</v>
      </c>
      <c r="E50" s="13" t="s">
        <v>1854</v>
      </c>
      <c r="F50" s="15">
        <v>32088.0</v>
      </c>
      <c r="G50" s="15">
        <v>13.0</v>
      </c>
      <c r="H50" s="15"/>
      <c r="I50" s="15">
        <v>3.0</v>
      </c>
      <c r="J50" s="15">
        <v>1.0</v>
      </c>
      <c r="K50" s="15">
        <v>10.0</v>
      </c>
      <c r="L50" s="15">
        <v>0.0</v>
      </c>
      <c r="M50" s="15"/>
      <c r="N50" s="13">
        <v>41.2</v>
      </c>
      <c r="O50" s="13">
        <v>24.0</v>
      </c>
      <c r="P50" s="13">
        <v>70.9</v>
      </c>
      <c r="Q50" s="13">
        <v>11.3</v>
      </c>
      <c r="R50" s="13">
        <v>3.39</v>
      </c>
      <c r="S50" s="13">
        <v>11.34</v>
      </c>
      <c r="T50" s="15">
        <v>32088.0</v>
      </c>
      <c r="U50" s="16">
        <f t="shared" si="1"/>
        <v>32088</v>
      </c>
      <c r="V50" s="16">
        <f t="shared" si="2"/>
        <v>0</v>
      </c>
      <c r="W50" s="16">
        <f>IF(ISNUMBER(F50),ROUND(F50/'05_Assumptions'!$B$4,0),"")</f>
        <v>2</v>
      </c>
      <c r="X50" s="16">
        <f t="shared" si="3"/>
        <v>1</v>
      </c>
      <c r="Y50" s="18" t="str">
        <f>IF(NOT(ISNUMBER(J50)),"",IF(J50=0,"no RHU",IF(F50/J50&gt;'05_Assumptions'!$B$4,"Yes","No")))</f>
        <v>Yes</v>
      </c>
      <c r="Z50" s="16">
        <f t="shared" si="4"/>
        <v>10</v>
      </c>
      <c r="AA50" s="19">
        <f t="shared" si="5"/>
        <v>0.7692307692</v>
      </c>
      <c r="AB50" s="20" t="str">
        <f>IF(AND(ISNUMBER(F50),F50&gt;0,ISNUMBER(M50)),M50/F50*'05_Assumptions'!$B$6,"")</f>
        <v/>
      </c>
      <c r="AC50" s="13" t="s">
        <v>1865</v>
      </c>
      <c r="AD50" s="18">
        <f>IF(ISNUMBER(F50),ROUNDUP(F50/'05_Assumptions'!$B$4,0),"")</f>
        <v>2</v>
      </c>
      <c r="AE50" s="18">
        <f t="shared" si="6"/>
        <v>1</v>
      </c>
    </row>
    <row r="51" ht="15.75" customHeight="1">
      <c r="A51" s="13" t="s">
        <v>158</v>
      </c>
      <c r="B51" s="13" t="s">
        <v>622</v>
      </c>
      <c r="C51" s="13" t="s">
        <v>1864</v>
      </c>
      <c r="D51" s="13" t="s">
        <v>528</v>
      </c>
      <c r="E51" s="13" t="s">
        <v>1854</v>
      </c>
      <c r="F51" s="15">
        <v>31863.0</v>
      </c>
      <c r="G51" s="15">
        <v>17.0</v>
      </c>
      <c r="H51" s="15"/>
      <c r="I51" s="15">
        <v>8.0</v>
      </c>
      <c r="J51" s="15">
        <v>1.0</v>
      </c>
      <c r="K51" s="15">
        <v>10.0</v>
      </c>
      <c r="L51" s="15">
        <v>0.0</v>
      </c>
      <c r="M51" s="15"/>
      <c r="N51" s="13">
        <v>85.3</v>
      </c>
      <c r="O51" s="13">
        <v>69.6</v>
      </c>
      <c r="P51" s="13">
        <v>122.2</v>
      </c>
      <c r="Q51" s="13">
        <v>19.6</v>
      </c>
      <c r="R51" s="13">
        <v>0.43</v>
      </c>
      <c r="S51" s="13">
        <v>11.56</v>
      </c>
      <c r="T51" s="15">
        <v>31863.0</v>
      </c>
      <c r="U51" s="16">
        <f t="shared" si="1"/>
        <v>31863</v>
      </c>
      <c r="V51" s="16">
        <f t="shared" si="2"/>
        <v>0</v>
      </c>
      <c r="W51" s="16">
        <f>IF(ISNUMBER(F51),ROUND(F51/'05_Assumptions'!$B$4,0),"")</f>
        <v>2</v>
      </c>
      <c r="X51" s="16">
        <f t="shared" si="3"/>
        <v>1</v>
      </c>
      <c r="Y51" s="18" t="str">
        <f>IF(NOT(ISNUMBER(J51)),"",IF(J51=0,"no RHU",IF(F51/J51&gt;'05_Assumptions'!$B$4,"Yes","No")))</f>
        <v>Yes</v>
      </c>
      <c r="Z51" s="16">
        <f t="shared" si="4"/>
        <v>9</v>
      </c>
      <c r="AA51" s="19">
        <f t="shared" si="5"/>
        <v>0.5294117647</v>
      </c>
      <c r="AB51" s="20" t="str">
        <f>IF(AND(ISNUMBER(F51),F51&gt;0,ISNUMBER(M51)),M51/F51*'05_Assumptions'!$B$6,"")</f>
        <v/>
      </c>
      <c r="AC51" s="13" t="s">
        <v>1865</v>
      </c>
      <c r="AD51" s="18">
        <f>IF(ISNUMBER(F51),ROUNDUP(F51/'05_Assumptions'!$B$4,0),"")</f>
        <v>2</v>
      </c>
      <c r="AE51" s="18">
        <f t="shared" si="6"/>
        <v>1</v>
      </c>
    </row>
    <row r="52" ht="15.75" customHeight="1">
      <c r="A52" s="13" t="s">
        <v>158</v>
      </c>
      <c r="B52" s="13" t="s">
        <v>622</v>
      </c>
      <c r="C52" s="13" t="s">
        <v>1813</v>
      </c>
      <c r="D52" s="13" t="s">
        <v>528</v>
      </c>
      <c r="E52" s="13" t="s">
        <v>1854</v>
      </c>
      <c r="F52" s="15">
        <v>30828.0</v>
      </c>
      <c r="G52" s="15">
        <v>13.0</v>
      </c>
      <c r="H52" s="15"/>
      <c r="I52" s="15">
        <v>0.0</v>
      </c>
      <c r="J52" s="15">
        <v>1.0</v>
      </c>
      <c r="K52" s="15">
        <v>13.0</v>
      </c>
      <c r="L52" s="15">
        <v>0.0</v>
      </c>
      <c r="M52" s="15"/>
      <c r="N52" s="13">
        <v>72.6</v>
      </c>
      <c r="O52" s="13">
        <v>98.0</v>
      </c>
      <c r="P52" s="13">
        <v>303.6</v>
      </c>
      <c r="Q52" s="13">
        <v>48.6</v>
      </c>
      <c r="R52" s="13">
        <v>9.51</v>
      </c>
      <c r="S52" s="13">
        <v>18.4</v>
      </c>
      <c r="T52" s="15">
        <v>30828.0</v>
      </c>
      <c r="U52" s="16">
        <f t="shared" si="1"/>
        <v>30828</v>
      </c>
      <c r="V52" s="16">
        <f t="shared" si="2"/>
        <v>0</v>
      </c>
      <c r="W52" s="16">
        <f>IF(ISNUMBER(F52),ROUND(F52/'05_Assumptions'!$B$4,0),"")</f>
        <v>2</v>
      </c>
      <c r="X52" s="16">
        <f t="shared" si="3"/>
        <v>1</v>
      </c>
      <c r="Y52" s="18" t="str">
        <f>IF(NOT(ISNUMBER(J52)),"",IF(J52=0,"no RHU",IF(F52/J52&gt;'05_Assumptions'!$B$4,"Yes","No")))</f>
        <v>Yes</v>
      </c>
      <c r="Z52" s="16">
        <f t="shared" si="4"/>
        <v>13</v>
      </c>
      <c r="AA52" s="19">
        <f t="shared" si="5"/>
        <v>1</v>
      </c>
      <c r="AB52" s="20" t="str">
        <f>IF(AND(ISNUMBER(F52),F52&gt;0,ISNUMBER(M52)),M52/F52*'05_Assumptions'!$B$6,"")</f>
        <v/>
      </c>
      <c r="AC52" s="13" t="s">
        <v>1865</v>
      </c>
      <c r="AD52" s="18">
        <f>IF(ISNUMBER(F52),ROUNDUP(F52/'05_Assumptions'!$B$4,0),"")</f>
        <v>2</v>
      </c>
      <c r="AE52" s="18">
        <f t="shared" si="6"/>
        <v>1</v>
      </c>
    </row>
    <row r="53" ht="15.75" customHeight="1">
      <c r="A53" s="13" t="s">
        <v>158</v>
      </c>
      <c r="B53" s="13" t="s">
        <v>622</v>
      </c>
      <c r="C53" s="13" t="s">
        <v>1875</v>
      </c>
      <c r="D53" s="13" t="s">
        <v>528</v>
      </c>
      <c r="E53" s="13" t="s">
        <v>1854</v>
      </c>
      <c r="F53" s="15">
        <v>30332.0</v>
      </c>
      <c r="G53" s="15">
        <v>11.0</v>
      </c>
      <c r="H53" s="15"/>
      <c r="I53" s="15">
        <v>6.0</v>
      </c>
      <c r="J53" s="15">
        <v>1.0</v>
      </c>
      <c r="K53" s="15">
        <v>5.0</v>
      </c>
      <c r="L53" s="15">
        <v>0.0</v>
      </c>
      <c r="M53" s="15"/>
      <c r="N53" s="13">
        <v>54.1</v>
      </c>
      <c r="O53" s="13">
        <v>66.6</v>
      </c>
      <c r="P53" s="13">
        <v>70.3</v>
      </c>
      <c r="Q53" s="13">
        <v>11.2</v>
      </c>
      <c r="R53" s="13">
        <v>0.33</v>
      </c>
      <c r="S53" s="13">
        <v>3.85</v>
      </c>
      <c r="T53" s="15">
        <v>30332.0</v>
      </c>
      <c r="U53" s="16">
        <f t="shared" si="1"/>
        <v>30332</v>
      </c>
      <c r="V53" s="16">
        <f t="shared" si="2"/>
        <v>0</v>
      </c>
      <c r="W53" s="16">
        <f>IF(ISNUMBER(F53),ROUND(F53/'05_Assumptions'!$B$4,0),"")</f>
        <v>2</v>
      </c>
      <c r="X53" s="16">
        <f t="shared" si="3"/>
        <v>1</v>
      </c>
      <c r="Y53" s="18" t="str">
        <f>IF(NOT(ISNUMBER(J53)),"",IF(J53=0,"no RHU",IF(F53/J53&gt;'05_Assumptions'!$B$4,"Yes","No")))</f>
        <v>Yes</v>
      </c>
      <c r="Z53" s="16">
        <f t="shared" si="4"/>
        <v>5</v>
      </c>
      <c r="AA53" s="19">
        <f t="shared" si="5"/>
        <v>0.4545454545</v>
      </c>
      <c r="AB53" s="20" t="str">
        <f>IF(AND(ISNUMBER(F53),F53&gt;0,ISNUMBER(M53)),M53/F53*'05_Assumptions'!$B$6,"")</f>
        <v/>
      </c>
      <c r="AC53" s="13" t="s">
        <v>1865</v>
      </c>
      <c r="AD53" s="18">
        <f>IF(ISNUMBER(F53),ROUNDUP(F53/'05_Assumptions'!$B$4,0),"")</f>
        <v>2</v>
      </c>
      <c r="AE53" s="18">
        <f t="shared" si="6"/>
        <v>1</v>
      </c>
    </row>
    <row r="54" ht="15.75" customHeight="1">
      <c r="A54" s="13" t="s">
        <v>158</v>
      </c>
      <c r="B54" s="13" t="s">
        <v>622</v>
      </c>
      <c r="C54" s="13" t="s">
        <v>1847</v>
      </c>
      <c r="D54" s="13" t="s">
        <v>528</v>
      </c>
      <c r="E54" s="13" t="s">
        <v>1854</v>
      </c>
      <c r="F54" s="15">
        <v>19750.0</v>
      </c>
      <c r="G54" s="15">
        <v>9.0</v>
      </c>
      <c r="H54" s="15"/>
      <c r="I54" s="15">
        <v>5.0</v>
      </c>
      <c r="J54" s="15">
        <v>1.0</v>
      </c>
      <c r="K54" s="15">
        <v>4.0</v>
      </c>
      <c r="L54" s="15">
        <v>0.0</v>
      </c>
      <c r="M54" s="15"/>
      <c r="N54" s="13">
        <v>80.7</v>
      </c>
      <c r="O54" s="13">
        <v>28.2</v>
      </c>
      <c r="P54" s="13">
        <v>159.2</v>
      </c>
      <c r="Q54" s="13">
        <v>25.5</v>
      </c>
      <c r="R54" s="13">
        <v>1.77</v>
      </c>
      <c r="S54" s="13">
        <v>5.99</v>
      </c>
      <c r="T54" s="15">
        <v>19750.0</v>
      </c>
      <c r="U54" s="16">
        <f t="shared" si="1"/>
        <v>19750</v>
      </c>
      <c r="V54" s="16">
        <f t="shared" si="2"/>
        <v>0</v>
      </c>
      <c r="W54" s="16">
        <f>IF(ISNUMBER(F54),ROUND(F54/'05_Assumptions'!$B$4,0),"")</f>
        <v>1</v>
      </c>
      <c r="X54" s="16">
        <f t="shared" si="3"/>
        <v>0</v>
      </c>
      <c r="Y54" s="18" t="str">
        <f>IF(NOT(ISNUMBER(J54)),"",IF(J54=0,"no RHU",IF(F54/J54&gt;'05_Assumptions'!$B$4,"Yes","No")))</f>
        <v>No</v>
      </c>
      <c r="Z54" s="16">
        <f t="shared" si="4"/>
        <v>4</v>
      </c>
      <c r="AA54" s="19">
        <f t="shared" si="5"/>
        <v>0.4444444444</v>
      </c>
      <c r="AB54" s="20" t="str">
        <f>IF(AND(ISNUMBER(F54),F54&gt;0,ISNUMBER(M54)),M54/F54*'05_Assumptions'!$B$6,"")</f>
        <v/>
      </c>
      <c r="AC54" s="13" t="s">
        <v>1865</v>
      </c>
      <c r="AD54" s="18">
        <f>IF(ISNUMBER(F54),ROUNDUP(F54/'05_Assumptions'!$B$4,0),"")</f>
        <v>1</v>
      </c>
      <c r="AE54" s="18">
        <f t="shared" si="6"/>
        <v>0</v>
      </c>
    </row>
    <row r="55" ht="15.75" customHeight="1">
      <c r="A55" s="13" t="s">
        <v>158</v>
      </c>
      <c r="B55" s="13" t="s">
        <v>622</v>
      </c>
      <c r="C55" s="13" t="s">
        <v>1963</v>
      </c>
      <c r="D55" s="13" t="s">
        <v>1831</v>
      </c>
      <c r="E55" s="13" t="s">
        <v>1854</v>
      </c>
      <c r="F55" s="15">
        <v>741428.0</v>
      </c>
      <c r="G55" s="15">
        <v>221.0</v>
      </c>
      <c r="H55" s="15"/>
      <c r="I55" s="15">
        <v>46.0</v>
      </c>
      <c r="J55" s="15">
        <v>12.0</v>
      </c>
      <c r="K55" s="15">
        <v>178.0</v>
      </c>
      <c r="L55" s="15">
        <v>6.0</v>
      </c>
      <c r="M55" s="15">
        <v>360.0</v>
      </c>
      <c r="N55" s="13">
        <v>60.1</v>
      </c>
      <c r="O55" s="13">
        <v>59.6</v>
      </c>
      <c r="P55" s="13">
        <v>158.7</v>
      </c>
      <c r="Q55" s="13">
        <v>27.7</v>
      </c>
      <c r="R55" s="13">
        <v>2.47</v>
      </c>
      <c r="S55" s="13">
        <v>7.35</v>
      </c>
      <c r="T55" s="15">
        <v>61786.0</v>
      </c>
      <c r="U55" s="16">
        <f t="shared" si="1"/>
        <v>61785.66667</v>
      </c>
      <c r="V55" s="16">
        <f t="shared" si="2"/>
        <v>-0.3333333333</v>
      </c>
      <c r="W55" s="16">
        <f>IF(ISNUMBER(F55),ROUND(F55/'05_Assumptions'!$B$4,0),"")</f>
        <v>37</v>
      </c>
      <c r="X55" s="16">
        <f t="shared" si="3"/>
        <v>25</v>
      </c>
      <c r="Y55" s="18" t="str">
        <f>IF(NOT(ISNUMBER(J55)),"",IF(J55=0,"no RHU",IF(F55/J55&gt;'05_Assumptions'!$B$4,"Yes","No")))</f>
        <v>Yes</v>
      </c>
      <c r="Z55" s="16">
        <f t="shared" si="4"/>
        <v>175</v>
      </c>
      <c r="AA55" s="19">
        <f t="shared" si="5"/>
        <v>0.7918552036</v>
      </c>
      <c r="AB55" s="20">
        <f>IF(AND(ISNUMBER(F55),F55&gt;0,ISNUMBER(M55)),M55/F55*'05_Assumptions'!$B$6,"")</f>
        <v>0.4855495072</v>
      </c>
      <c r="AC55" s="13" t="s">
        <v>1865</v>
      </c>
      <c r="AD55" s="18">
        <f>IF(ISNUMBER(F55),ROUNDUP(F55/'05_Assumptions'!$B$4,0),"")</f>
        <v>38</v>
      </c>
      <c r="AE55" s="18">
        <f t="shared" si="6"/>
        <v>26</v>
      </c>
    </row>
    <row r="56" ht="15.75" customHeight="1">
      <c r="A56" s="13" t="s">
        <v>158</v>
      </c>
      <c r="B56" s="13" t="s">
        <v>622</v>
      </c>
      <c r="C56" s="13" t="s">
        <v>1990</v>
      </c>
      <c r="D56" s="13" t="s">
        <v>1991</v>
      </c>
      <c r="E56" s="13" t="s">
        <v>1854</v>
      </c>
      <c r="F56" s="15">
        <v>383383.0</v>
      </c>
      <c r="G56" s="15">
        <v>37.0</v>
      </c>
      <c r="H56" s="15"/>
      <c r="I56" s="15">
        <v>1.0</v>
      </c>
      <c r="J56" s="15">
        <v>1.0</v>
      </c>
      <c r="K56" s="15">
        <v>39.0</v>
      </c>
      <c r="L56" s="15">
        <v>6.0</v>
      </c>
      <c r="M56" s="15">
        <v>512.0</v>
      </c>
      <c r="N56" s="13">
        <v>52.6</v>
      </c>
      <c r="O56" s="13">
        <v>93.1</v>
      </c>
      <c r="P56" s="13">
        <v>714.6</v>
      </c>
      <c r="Q56" s="13">
        <v>114.3</v>
      </c>
      <c r="R56" s="13">
        <v>6.45</v>
      </c>
      <c r="S56" s="13">
        <v>5.55</v>
      </c>
      <c r="T56" s="15">
        <v>383383.0</v>
      </c>
      <c r="U56" s="16">
        <f t="shared" si="1"/>
        <v>383383</v>
      </c>
      <c r="V56" s="16">
        <f t="shared" si="2"/>
        <v>0</v>
      </c>
      <c r="W56" s="16">
        <f>IF(ISNUMBER(F56),ROUND(F56/'05_Assumptions'!$B$4,0),"")</f>
        <v>19</v>
      </c>
      <c r="X56" s="16">
        <f t="shared" si="3"/>
        <v>18</v>
      </c>
      <c r="Y56" s="18" t="str">
        <f>IF(NOT(ISNUMBER(J56)),"",IF(J56=0,"no RHU",IF(F56/J56&gt;'05_Assumptions'!$B$4,"Yes","No")))</f>
        <v>Yes</v>
      </c>
      <c r="Z56" s="16">
        <f t="shared" si="4"/>
        <v>36</v>
      </c>
      <c r="AA56" s="19">
        <f t="shared" si="5"/>
        <v>0.972972973</v>
      </c>
      <c r="AB56" s="20">
        <f>IF(AND(ISNUMBER(F56),F56&gt;0,ISNUMBER(M56)),M56/F56*'05_Assumptions'!$B$6,"")</f>
        <v>1.335479142</v>
      </c>
      <c r="AC56" s="13" t="s">
        <v>1865</v>
      </c>
      <c r="AD56" s="18">
        <f>IF(ISNUMBER(F56),ROUNDUP(F56/'05_Assumptions'!$B$4,0),"")</f>
        <v>20</v>
      </c>
      <c r="AE56" s="18">
        <f t="shared" si="6"/>
        <v>19</v>
      </c>
    </row>
    <row r="57" ht="15.75" customHeight="1">
      <c r="A57" s="13" t="s">
        <v>184</v>
      </c>
      <c r="B57" s="13" t="s">
        <v>644</v>
      </c>
      <c r="C57" s="13" t="s">
        <v>1207</v>
      </c>
      <c r="D57" s="13" t="s">
        <v>528</v>
      </c>
      <c r="E57" s="13" t="s">
        <v>2017</v>
      </c>
      <c r="F57" s="15">
        <v>60931.0</v>
      </c>
      <c r="G57" s="15">
        <v>7.0</v>
      </c>
      <c r="H57" s="15"/>
      <c r="I57" s="15">
        <v>4.0</v>
      </c>
      <c r="J57" s="15">
        <v>1.0</v>
      </c>
      <c r="K57" s="15">
        <v>2.0</v>
      </c>
      <c r="L57" s="15">
        <v>1.0</v>
      </c>
      <c r="M57" s="15">
        <v>139.0</v>
      </c>
      <c r="N57" s="13">
        <v>63.1</v>
      </c>
      <c r="O57" s="13">
        <v>74.47</v>
      </c>
      <c r="P57" s="13">
        <v>236.5</v>
      </c>
      <c r="Q57" s="13">
        <v>37.8</v>
      </c>
      <c r="R57" s="13">
        <v>5.12</v>
      </c>
      <c r="S57" s="13"/>
      <c r="T57" s="15">
        <v>60931.0</v>
      </c>
      <c r="U57" s="16">
        <f t="shared" si="1"/>
        <v>60931</v>
      </c>
      <c r="V57" s="16">
        <f t="shared" si="2"/>
        <v>0</v>
      </c>
      <c r="W57" s="16">
        <f>IF(ISNUMBER(F57),ROUND(F57/'05_Assumptions'!$B$4,0),"")</f>
        <v>3</v>
      </c>
      <c r="X57" s="16">
        <f t="shared" si="3"/>
        <v>2</v>
      </c>
      <c r="Y57" s="18" t="str">
        <f>IF(NOT(ISNUMBER(J57)),"",IF(J57=0,"no RHU",IF(F57/J57&gt;'05_Assumptions'!$B$4,"Yes","No")))</f>
        <v>Yes</v>
      </c>
      <c r="Z57" s="16">
        <f t="shared" si="4"/>
        <v>3</v>
      </c>
      <c r="AA57" s="19">
        <f t="shared" si="5"/>
        <v>0.4285714286</v>
      </c>
      <c r="AB57" s="20">
        <f>IF(AND(ISNUMBER(F57),F57&gt;0,ISNUMBER(M57)),M57/F57*'05_Assumptions'!$B$6,"")</f>
        <v>2.281268976</v>
      </c>
      <c r="AC57" s="13" t="s">
        <v>2027</v>
      </c>
      <c r="AD57" s="18">
        <f>IF(ISNUMBER(F57),ROUNDUP(F57/'05_Assumptions'!$B$4,0),"")</f>
        <v>4</v>
      </c>
      <c r="AE57" s="18">
        <f t="shared" si="6"/>
        <v>3</v>
      </c>
    </row>
    <row r="58" ht="15.75" customHeight="1">
      <c r="A58" s="13" t="s">
        <v>184</v>
      </c>
      <c r="B58" s="13" t="s">
        <v>644</v>
      </c>
      <c r="C58" s="13" t="s">
        <v>1214</v>
      </c>
      <c r="D58" s="13" t="s">
        <v>528</v>
      </c>
      <c r="E58" s="13" t="s">
        <v>2017</v>
      </c>
      <c r="F58" s="15">
        <v>50018.0</v>
      </c>
      <c r="G58" s="15">
        <v>11.0</v>
      </c>
      <c r="H58" s="15"/>
      <c r="I58" s="15">
        <v>0.0</v>
      </c>
      <c r="J58" s="15">
        <v>1.0</v>
      </c>
      <c r="K58" s="15">
        <v>10.0</v>
      </c>
      <c r="L58" s="15">
        <v>1.0</v>
      </c>
      <c r="M58" s="15">
        <v>27.0</v>
      </c>
      <c r="N58" s="13">
        <v>79.95</v>
      </c>
      <c r="O58" s="13">
        <v>63.0</v>
      </c>
      <c r="P58" s="13">
        <v>134.57</v>
      </c>
      <c r="Q58" s="13">
        <v>21.5</v>
      </c>
      <c r="R58" s="13">
        <v>1.79</v>
      </c>
      <c r="S58" s="13"/>
      <c r="T58" s="15">
        <v>50018.0</v>
      </c>
      <c r="U58" s="16">
        <f t="shared" si="1"/>
        <v>50018</v>
      </c>
      <c r="V58" s="16">
        <f t="shared" si="2"/>
        <v>0</v>
      </c>
      <c r="W58" s="16">
        <f>IF(ISNUMBER(F58),ROUND(F58/'05_Assumptions'!$B$4,0),"")</f>
        <v>3</v>
      </c>
      <c r="X58" s="16">
        <f t="shared" si="3"/>
        <v>2</v>
      </c>
      <c r="Y58" s="18" t="str">
        <f>IF(NOT(ISNUMBER(J58)),"",IF(J58=0,"no RHU",IF(F58/J58&gt;'05_Assumptions'!$B$4,"Yes","No")))</f>
        <v>Yes</v>
      </c>
      <c r="Z58" s="16">
        <f t="shared" si="4"/>
        <v>11</v>
      </c>
      <c r="AA58" s="19">
        <f t="shared" si="5"/>
        <v>1</v>
      </c>
      <c r="AB58" s="20">
        <f>IF(AND(ISNUMBER(F58),F58&gt;0,ISNUMBER(M58)),M58/F58*'05_Assumptions'!$B$6,"")</f>
        <v>0.53980567</v>
      </c>
      <c r="AC58" s="13" t="s">
        <v>2027</v>
      </c>
      <c r="AD58" s="18">
        <f>IF(ISNUMBER(F58),ROUNDUP(F58/'05_Assumptions'!$B$4,0),"")</f>
        <v>3</v>
      </c>
      <c r="AE58" s="18">
        <f t="shared" si="6"/>
        <v>2</v>
      </c>
    </row>
    <row r="59" ht="15.75" customHeight="1">
      <c r="A59" s="13" t="s">
        <v>184</v>
      </c>
      <c r="B59" s="13" t="s">
        <v>644</v>
      </c>
      <c r="C59" s="13" t="s">
        <v>2047</v>
      </c>
      <c r="D59" s="13" t="s">
        <v>528</v>
      </c>
      <c r="E59" s="13" t="s">
        <v>2017</v>
      </c>
      <c r="F59" s="15">
        <v>49326.0</v>
      </c>
      <c r="G59" s="15">
        <v>12.0</v>
      </c>
      <c r="H59" s="15"/>
      <c r="I59" s="15">
        <v>9.0</v>
      </c>
      <c r="J59" s="15">
        <v>1.0</v>
      </c>
      <c r="K59" s="15">
        <v>3.0</v>
      </c>
      <c r="L59" s="15">
        <v>0.0</v>
      </c>
      <c r="M59" s="15">
        <v>6.0</v>
      </c>
      <c r="N59" s="13">
        <v>44.17</v>
      </c>
      <c r="O59" s="13">
        <v>43.04</v>
      </c>
      <c r="P59" s="13">
        <v>80.96</v>
      </c>
      <c r="Q59" s="13">
        <v>13.0</v>
      </c>
      <c r="R59" s="13">
        <v>10.05</v>
      </c>
      <c r="S59" s="13"/>
      <c r="T59" s="15">
        <v>49326.0</v>
      </c>
      <c r="U59" s="16">
        <f t="shared" si="1"/>
        <v>49326</v>
      </c>
      <c r="V59" s="16">
        <f t="shared" si="2"/>
        <v>0</v>
      </c>
      <c r="W59" s="16">
        <f>IF(ISNUMBER(F59),ROUND(F59/'05_Assumptions'!$B$4,0),"")</f>
        <v>2</v>
      </c>
      <c r="X59" s="16">
        <f t="shared" si="3"/>
        <v>1</v>
      </c>
      <c r="Y59" s="18" t="str">
        <f>IF(NOT(ISNUMBER(J59)),"",IF(J59=0,"no RHU",IF(F59/J59&gt;'05_Assumptions'!$B$4,"Yes","No")))</f>
        <v>Yes</v>
      </c>
      <c r="Z59" s="16">
        <f t="shared" si="4"/>
        <v>3</v>
      </c>
      <c r="AA59" s="19">
        <f t="shared" si="5"/>
        <v>0.25</v>
      </c>
      <c r="AB59" s="20">
        <f>IF(AND(ISNUMBER(F59),F59&gt;0,ISNUMBER(M59)),M59/F59*'05_Assumptions'!$B$6,"")</f>
        <v>0.1216397032</v>
      </c>
      <c r="AC59" s="13" t="s">
        <v>2027</v>
      </c>
      <c r="AD59" s="18">
        <f>IF(ISNUMBER(F59),ROUNDUP(F59/'05_Assumptions'!$B$4,0),"")</f>
        <v>3</v>
      </c>
      <c r="AE59" s="18">
        <f t="shared" si="6"/>
        <v>2</v>
      </c>
    </row>
    <row r="60" ht="15.75" customHeight="1">
      <c r="A60" s="13" t="s">
        <v>184</v>
      </c>
      <c r="B60" s="13" t="s">
        <v>644</v>
      </c>
      <c r="C60" s="13" t="s">
        <v>2072</v>
      </c>
      <c r="D60" s="13" t="s">
        <v>528</v>
      </c>
      <c r="E60" s="13" t="s">
        <v>2017</v>
      </c>
      <c r="F60" s="15">
        <v>42181.0</v>
      </c>
      <c r="G60" s="15">
        <v>11.0</v>
      </c>
      <c r="H60" s="15"/>
      <c r="I60" s="15">
        <v>5.0</v>
      </c>
      <c r="J60" s="15">
        <v>1.0</v>
      </c>
      <c r="K60" s="15">
        <v>5.0</v>
      </c>
      <c r="L60" s="15">
        <v>0.0</v>
      </c>
      <c r="M60" s="15">
        <v>2.0</v>
      </c>
      <c r="N60" s="13">
        <v>48.57</v>
      </c>
      <c r="O60" s="13">
        <v>30.17</v>
      </c>
      <c r="P60" s="13">
        <v>118.88</v>
      </c>
      <c r="Q60" s="13">
        <v>19.0</v>
      </c>
      <c r="R60" s="13">
        <v>0.88</v>
      </c>
      <c r="S60" s="13"/>
      <c r="T60" s="15">
        <v>42181.0</v>
      </c>
      <c r="U60" s="16">
        <f t="shared" si="1"/>
        <v>42181</v>
      </c>
      <c r="V60" s="16">
        <f t="shared" si="2"/>
        <v>0</v>
      </c>
      <c r="W60" s="16">
        <f>IF(ISNUMBER(F60),ROUND(F60/'05_Assumptions'!$B$4,0),"")</f>
        <v>2</v>
      </c>
      <c r="X60" s="16">
        <f t="shared" si="3"/>
        <v>1</v>
      </c>
      <c r="Y60" s="18" t="str">
        <f>IF(NOT(ISNUMBER(J60)),"",IF(J60=0,"no RHU",IF(F60/J60&gt;'05_Assumptions'!$B$4,"Yes","No")))</f>
        <v>Yes</v>
      </c>
      <c r="Z60" s="16">
        <f t="shared" si="4"/>
        <v>6</v>
      </c>
      <c r="AA60" s="19">
        <f t="shared" si="5"/>
        <v>0.5454545455</v>
      </c>
      <c r="AB60" s="20">
        <f>IF(AND(ISNUMBER(F60),F60&gt;0,ISNUMBER(M60)),M60/F60*'05_Assumptions'!$B$6,"")</f>
        <v>0.04741471279</v>
      </c>
      <c r="AC60" s="13" t="s">
        <v>2027</v>
      </c>
      <c r="AD60" s="18">
        <f>IF(ISNUMBER(F60),ROUNDUP(F60/'05_Assumptions'!$B$4,0),"")</f>
        <v>3</v>
      </c>
      <c r="AE60" s="18">
        <f t="shared" si="6"/>
        <v>2</v>
      </c>
    </row>
    <row r="61" ht="15.75" customHeight="1">
      <c r="A61" s="13" t="s">
        <v>184</v>
      </c>
      <c r="B61" s="13" t="s">
        <v>644</v>
      </c>
      <c r="C61" s="13" t="s">
        <v>2074</v>
      </c>
      <c r="D61" s="13" t="s">
        <v>528</v>
      </c>
      <c r="E61" s="13" t="s">
        <v>2017</v>
      </c>
      <c r="F61" s="15">
        <v>39182.0</v>
      </c>
      <c r="G61" s="15">
        <v>15.0</v>
      </c>
      <c r="H61" s="15"/>
      <c r="I61" s="15">
        <v>5.0</v>
      </c>
      <c r="J61" s="15">
        <v>1.0</v>
      </c>
      <c r="K61" s="15">
        <v>9.0</v>
      </c>
      <c r="L61" s="15">
        <v>0.0</v>
      </c>
      <c r="M61" s="15">
        <v>4.0</v>
      </c>
      <c r="N61" s="13">
        <v>62.2</v>
      </c>
      <c r="O61" s="13">
        <v>91.58</v>
      </c>
      <c r="P61" s="13">
        <v>171.58</v>
      </c>
      <c r="Q61" s="13">
        <v>27.5</v>
      </c>
      <c r="R61" s="13">
        <v>2.81</v>
      </c>
      <c r="S61" s="13"/>
      <c r="T61" s="15">
        <v>39182.0</v>
      </c>
      <c r="U61" s="16">
        <f t="shared" si="1"/>
        <v>39182</v>
      </c>
      <c r="V61" s="16">
        <f t="shared" si="2"/>
        <v>0</v>
      </c>
      <c r="W61" s="16">
        <f>IF(ISNUMBER(F61),ROUND(F61/'05_Assumptions'!$B$4,0),"")</f>
        <v>2</v>
      </c>
      <c r="X61" s="16">
        <f t="shared" si="3"/>
        <v>1</v>
      </c>
      <c r="Y61" s="18" t="str">
        <f>IF(NOT(ISNUMBER(J61)),"",IF(J61=0,"no RHU",IF(F61/J61&gt;'05_Assumptions'!$B$4,"Yes","No")))</f>
        <v>Yes</v>
      </c>
      <c r="Z61" s="16">
        <f t="shared" si="4"/>
        <v>10</v>
      </c>
      <c r="AA61" s="19">
        <f t="shared" si="5"/>
        <v>0.6666666667</v>
      </c>
      <c r="AB61" s="20">
        <f>IF(AND(ISNUMBER(F61),F61&gt;0,ISNUMBER(M61)),M61/F61*'05_Assumptions'!$B$6,"")</f>
        <v>0.1020876933</v>
      </c>
      <c r="AC61" s="13" t="s">
        <v>2027</v>
      </c>
      <c r="AD61" s="18">
        <f>IF(ISNUMBER(F61),ROUNDUP(F61/'05_Assumptions'!$B$4,0),"")</f>
        <v>2</v>
      </c>
      <c r="AE61" s="18">
        <f t="shared" si="6"/>
        <v>1</v>
      </c>
    </row>
    <row r="62" ht="15.75" customHeight="1">
      <c r="A62" s="13" t="s">
        <v>184</v>
      </c>
      <c r="B62" s="13" t="s">
        <v>644</v>
      </c>
      <c r="C62" s="13" t="s">
        <v>1217</v>
      </c>
      <c r="D62" s="13" t="s">
        <v>528</v>
      </c>
      <c r="E62" s="13" t="s">
        <v>2017</v>
      </c>
      <c r="F62" s="15">
        <v>38446.0</v>
      </c>
      <c r="G62" s="15">
        <v>23.0</v>
      </c>
      <c r="H62" s="15"/>
      <c r="I62" s="15">
        <v>13.0</v>
      </c>
      <c r="J62" s="15">
        <v>1.0</v>
      </c>
      <c r="K62" s="15">
        <v>9.0</v>
      </c>
      <c r="L62" s="15">
        <v>1.0</v>
      </c>
      <c r="M62" s="15">
        <v>33.0</v>
      </c>
      <c r="N62" s="13">
        <v>89.07</v>
      </c>
      <c r="O62" s="13">
        <v>94.7</v>
      </c>
      <c r="P62" s="13">
        <v>169.62</v>
      </c>
      <c r="Q62" s="13">
        <v>27.1</v>
      </c>
      <c r="R62" s="13">
        <v>10.08</v>
      </c>
      <c r="S62" s="13"/>
      <c r="T62" s="15">
        <v>38446.0</v>
      </c>
      <c r="U62" s="16">
        <f t="shared" si="1"/>
        <v>38446</v>
      </c>
      <c r="V62" s="16">
        <f t="shared" si="2"/>
        <v>0</v>
      </c>
      <c r="W62" s="16">
        <f>IF(ISNUMBER(F62),ROUND(F62/'05_Assumptions'!$B$4,0),"")</f>
        <v>2</v>
      </c>
      <c r="X62" s="16">
        <f t="shared" si="3"/>
        <v>1</v>
      </c>
      <c r="Y62" s="18" t="str">
        <f>IF(NOT(ISNUMBER(J62)),"",IF(J62=0,"no RHU",IF(F62/J62&gt;'05_Assumptions'!$B$4,"Yes","No")))</f>
        <v>Yes</v>
      </c>
      <c r="Z62" s="16">
        <f t="shared" si="4"/>
        <v>10</v>
      </c>
      <c r="AA62" s="19">
        <f t="shared" si="5"/>
        <v>0.4347826087</v>
      </c>
      <c r="AB62" s="20">
        <f>IF(AND(ISNUMBER(F62),F62&gt;0,ISNUMBER(M62)),M62/F62*'05_Assumptions'!$B$6,"")</f>
        <v>0.8583467721</v>
      </c>
      <c r="AC62" s="13" t="s">
        <v>2027</v>
      </c>
      <c r="AD62" s="18">
        <f>IF(ISNUMBER(F62),ROUNDUP(F62/'05_Assumptions'!$B$4,0),"")</f>
        <v>2</v>
      </c>
      <c r="AE62" s="18">
        <f t="shared" si="6"/>
        <v>1</v>
      </c>
    </row>
    <row r="63" ht="15.75" customHeight="1">
      <c r="A63" s="13" t="s">
        <v>184</v>
      </c>
      <c r="B63" s="13" t="s">
        <v>644</v>
      </c>
      <c r="C63" s="13" t="s">
        <v>1209</v>
      </c>
      <c r="D63" s="13" t="s">
        <v>528</v>
      </c>
      <c r="E63" s="13" t="s">
        <v>2017</v>
      </c>
      <c r="F63" s="15">
        <v>37437.0</v>
      </c>
      <c r="G63" s="15">
        <v>13.0</v>
      </c>
      <c r="H63" s="15"/>
      <c r="I63" s="15">
        <v>6.0</v>
      </c>
      <c r="J63" s="15">
        <v>1.0</v>
      </c>
      <c r="K63" s="15">
        <v>6.0</v>
      </c>
      <c r="L63" s="15">
        <v>1.0</v>
      </c>
      <c r="M63" s="15">
        <v>74.0</v>
      </c>
      <c r="N63" s="13">
        <v>62.36</v>
      </c>
      <c r="O63" s="13">
        <v>83.06</v>
      </c>
      <c r="P63" s="13">
        <v>218.57</v>
      </c>
      <c r="Q63" s="13">
        <v>35.0</v>
      </c>
      <c r="R63" s="13">
        <v>2.39</v>
      </c>
      <c r="S63" s="13"/>
      <c r="T63" s="15">
        <v>37437.0</v>
      </c>
      <c r="U63" s="16">
        <f t="shared" si="1"/>
        <v>37437</v>
      </c>
      <c r="V63" s="16">
        <f t="shared" si="2"/>
        <v>0</v>
      </c>
      <c r="W63" s="16">
        <f>IF(ISNUMBER(F63),ROUND(F63/'05_Assumptions'!$B$4,0),"")</f>
        <v>2</v>
      </c>
      <c r="X63" s="16">
        <f t="shared" si="3"/>
        <v>1</v>
      </c>
      <c r="Y63" s="18" t="str">
        <f>IF(NOT(ISNUMBER(J63)),"",IF(J63=0,"no RHU",IF(F63/J63&gt;'05_Assumptions'!$B$4,"Yes","No")))</f>
        <v>Yes</v>
      </c>
      <c r="Z63" s="16">
        <f t="shared" si="4"/>
        <v>7</v>
      </c>
      <c r="AA63" s="19">
        <f t="shared" si="5"/>
        <v>0.5384615385</v>
      </c>
      <c r="AB63" s="20">
        <f>IF(AND(ISNUMBER(F63),F63&gt;0,ISNUMBER(M63)),M63/F63*'05_Assumptions'!$B$6,"")</f>
        <v>1.976654112</v>
      </c>
      <c r="AC63" s="13" t="s">
        <v>2027</v>
      </c>
      <c r="AD63" s="18">
        <f>IF(ISNUMBER(F63),ROUNDUP(F63/'05_Assumptions'!$B$4,0),"")</f>
        <v>2</v>
      </c>
      <c r="AE63" s="18">
        <f t="shared" si="6"/>
        <v>1</v>
      </c>
    </row>
    <row r="64" ht="15.75" customHeight="1">
      <c r="A64" s="13" t="s">
        <v>184</v>
      </c>
      <c r="B64" s="13" t="s">
        <v>644</v>
      </c>
      <c r="C64" s="13" t="s">
        <v>2089</v>
      </c>
      <c r="D64" s="13" t="s">
        <v>528</v>
      </c>
      <c r="E64" s="13" t="s">
        <v>2017</v>
      </c>
      <c r="F64" s="15">
        <v>35274.0</v>
      </c>
      <c r="G64" s="15">
        <v>10.0</v>
      </c>
      <c r="H64" s="15"/>
      <c r="I64" s="15">
        <v>5.0</v>
      </c>
      <c r="J64" s="15">
        <v>1.0</v>
      </c>
      <c r="K64" s="15">
        <v>3.0</v>
      </c>
      <c r="L64" s="15">
        <v>0.0</v>
      </c>
      <c r="M64" s="15">
        <v>7.0</v>
      </c>
      <c r="N64" s="13">
        <v>52.03</v>
      </c>
      <c r="O64" s="13">
        <v>72.41</v>
      </c>
      <c r="P64" s="13">
        <v>176.88</v>
      </c>
      <c r="Q64" s="13">
        <v>28.3</v>
      </c>
      <c r="R64" s="13">
        <v>0.47</v>
      </c>
      <c r="S64" s="13"/>
      <c r="T64" s="15">
        <v>35274.0</v>
      </c>
      <c r="U64" s="16">
        <f t="shared" si="1"/>
        <v>35274</v>
      </c>
      <c r="V64" s="16">
        <f t="shared" si="2"/>
        <v>0</v>
      </c>
      <c r="W64" s="16">
        <f>IF(ISNUMBER(F64),ROUND(F64/'05_Assumptions'!$B$4,0),"")</f>
        <v>2</v>
      </c>
      <c r="X64" s="16">
        <f t="shared" si="3"/>
        <v>1</v>
      </c>
      <c r="Y64" s="18" t="str">
        <f>IF(NOT(ISNUMBER(J64)),"",IF(J64=0,"no RHU",IF(F64/J64&gt;'05_Assumptions'!$B$4,"Yes","No")))</f>
        <v>Yes</v>
      </c>
      <c r="Z64" s="16">
        <f t="shared" si="4"/>
        <v>5</v>
      </c>
      <c r="AA64" s="19">
        <f t="shared" si="5"/>
        <v>0.5</v>
      </c>
      <c r="AB64" s="20">
        <f>IF(AND(ISNUMBER(F64),F64&gt;0,ISNUMBER(M64)),M64/F64*'05_Assumptions'!$B$6,"")</f>
        <v>0.1984464478</v>
      </c>
      <c r="AC64" s="13" t="s">
        <v>2027</v>
      </c>
      <c r="AD64" s="18">
        <f>IF(ISNUMBER(F64),ROUNDUP(F64/'05_Assumptions'!$B$4,0),"")</f>
        <v>2</v>
      </c>
      <c r="AE64" s="18">
        <f t="shared" si="6"/>
        <v>1</v>
      </c>
    </row>
    <row r="65" ht="15.75" customHeight="1">
      <c r="A65" s="13" t="s">
        <v>184</v>
      </c>
      <c r="B65" s="13" t="s">
        <v>644</v>
      </c>
      <c r="C65" s="13" t="s">
        <v>1223</v>
      </c>
      <c r="D65" s="13" t="s">
        <v>528</v>
      </c>
      <c r="E65" s="13" t="s">
        <v>2017</v>
      </c>
      <c r="F65" s="15">
        <v>35243.0</v>
      </c>
      <c r="G65" s="15">
        <v>7.0</v>
      </c>
      <c r="H65" s="15"/>
      <c r="I65" s="15">
        <v>1.0</v>
      </c>
      <c r="J65" s="15">
        <v>1.0</v>
      </c>
      <c r="K65" s="15">
        <v>5.0</v>
      </c>
      <c r="L65" s="15">
        <v>0.0</v>
      </c>
      <c r="M65" s="15">
        <v>39.0</v>
      </c>
      <c r="N65" s="13">
        <v>63.68</v>
      </c>
      <c r="O65" s="13">
        <v>63.38</v>
      </c>
      <c r="P65" s="13">
        <v>111.43</v>
      </c>
      <c r="Q65" s="13">
        <v>17.8</v>
      </c>
      <c r="R65" s="13">
        <v>0.61</v>
      </c>
      <c r="S65" s="13"/>
      <c r="T65" s="15">
        <v>35243.0</v>
      </c>
      <c r="U65" s="16">
        <f t="shared" si="1"/>
        <v>35243</v>
      </c>
      <c r="V65" s="16">
        <f t="shared" si="2"/>
        <v>0</v>
      </c>
      <c r="W65" s="16">
        <f>IF(ISNUMBER(F65),ROUND(F65/'05_Assumptions'!$B$4,0),"")</f>
        <v>2</v>
      </c>
      <c r="X65" s="16">
        <f t="shared" si="3"/>
        <v>1</v>
      </c>
      <c r="Y65" s="18" t="str">
        <f>IF(NOT(ISNUMBER(J65)),"",IF(J65=0,"no RHU",IF(F65/J65&gt;'05_Assumptions'!$B$4,"Yes","No")))</f>
        <v>Yes</v>
      </c>
      <c r="Z65" s="16">
        <f t="shared" si="4"/>
        <v>6</v>
      </c>
      <c r="AA65" s="19">
        <f t="shared" si="5"/>
        <v>0.8571428571</v>
      </c>
      <c r="AB65" s="20">
        <f>IF(AND(ISNUMBER(F65),F65&gt;0,ISNUMBER(M65)),M65/F65*'05_Assumptions'!$B$6,"")</f>
        <v>1.10660273</v>
      </c>
      <c r="AC65" s="13" t="s">
        <v>2027</v>
      </c>
      <c r="AD65" s="18">
        <f>IF(ISNUMBER(F65),ROUNDUP(F65/'05_Assumptions'!$B$4,0),"")</f>
        <v>2</v>
      </c>
      <c r="AE65" s="18">
        <f t="shared" si="6"/>
        <v>1</v>
      </c>
    </row>
    <row r="66" ht="15.75" customHeight="1">
      <c r="A66" s="13" t="s">
        <v>184</v>
      </c>
      <c r="B66" s="13" t="s">
        <v>644</v>
      </c>
      <c r="C66" s="13" t="s">
        <v>2102</v>
      </c>
      <c r="D66" s="13" t="s">
        <v>528</v>
      </c>
      <c r="E66" s="13" t="s">
        <v>2017</v>
      </c>
      <c r="F66" s="15">
        <v>33710.0</v>
      </c>
      <c r="G66" s="15">
        <v>19.0</v>
      </c>
      <c r="H66" s="15"/>
      <c r="I66" s="15">
        <v>0.0</v>
      </c>
      <c r="J66" s="15">
        <v>1.0</v>
      </c>
      <c r="K66" s="15">
        <v>18.0</v>
      </c>
      <c r="L66" s="15">
        <v>0.0</v>
      </c>
      <c r="M66" s="15">
        <v>21.0</v>
      </c>
      <c r="N66" s="13">
        <v>62.71</v>
      </c>
      <c r="O66" s="13">
        <v>82.52</v>
      </c>
      <c r="P66" s="13">
        <v>210.42</v>
      </c>
      <c r="Q66" s="13">
        <v>33.7</v>
      </c>
      <c r="R66" s="13">
        <v>4.27</v>
      </c>
      <c r="S66" s="13"/>
      <c r="T66" s="15">
        <v>33710.0</v>
      </c>
      <c r="U66" s="16">
        <f t="shared" si="1"/>
        <v>33710</v>
      </c>
      <c r="V66" s="16">
        <f t="shared" si="2"/>
        <v>0</v>
      </c>
      <c r="W66" s="16">
        <f>IF(ISNUMBER(F66),ROUND(F66/'05_Assumptions'!$B$4,0),"")</f>
        <v>2</v>
      </c>
      <c r="X66" s="16">
        <f t="shared" si="3"/>
        <v>1</v>
      </c>
      <c r="Y66" s="18" t="str">
        <f>IF(NOT(ISNUMBER(J66)),"",IF(J66=0,"no RHU",IF(F66/J66&gt;'05_Assumptions'!$B$4,"Yes","No")))</f>
        <v>Yes</v>
      </c>
      <c r="Z66" s="16">
        <f t="shared" si="4"/>
        <v>19</v>
      </c>
      <c r="AA66" s="19">
        <f t="shared" si="5"/>
        <v>1</v>
      </c>
      <c r="AB66" s="20">
        <f>IF(AND(ISNUMBER(F66),F66&gt;0,ISNUMBER(M66)),M66/F66*'05_Assumptions'!$B$6,"")</f>
        <v>0.6229605458</v>
      </c>
      <c r="AC66" s="13" t="s">
        <v>2027</v>
      </c>
      <c r="AD66" s="18">
        <f>IF(ISNUMBER(F66),ROUNDUP(F66/'05_Assumptions'!$B$4,0),"")</f>
        <v>2</v>
      </c>
      <c r="AE66" s="18">
        <f t="shared" si="6"/>
        <v>1</v>
      </c>
    </row>
    <row r="67" ht="15.75" customHeight="1">
      <c r="A67" s="13" t="s">
        <v>184</v>
      </c>
      <c r="B67" s="13" t="s">
        <v>644</v>
      </c>
      <c r="C67" s="13" t="s">
        <v>1235</v>
      </c>
      <c r="D67" s="13" t="s">
        <v>528</v>
      </c>
      <c r="E67" s="13" t="s">
        <v>2017</v>
      </c>
      <c r="F67" s="15">
        <v>33374.0</v>
      </c>
      <c r="G67" s="15">
        <v>8.0</v>
      </c>
      <c r="H67" s="15"/>
      <c r="I67" s="15">
        <v>0.0</v>
      </c>
      <c r="J67" s="15">
        <v>1.0</v>
      </c>
      <c r="K67" s="15">
        <v>6.0</v>
      </c>
      <c r="L67" s="15">
        <v>0.0</v>
      </c>
      <c r="M67" s="15">
        <v>27.0</v>
      </c>
      <c r="N67" s="13">
        <v>37.41</v>
      </c>
      <c r="O67" s="13">
        <v>74.93</v>
      </c>
      <c r="P67" s="13">
        <v>191.8</v>
      </c>
      <c r="Q67" s="13">
        <v>30.7</v>
      </c>
      <c r="R67" s="13">
        <v>11.16</v>
      </c>
      <c r="S67" s="13"/>
      <c r="T67" s="15">
        <v>33374.0</v>
      </c>
      <c r="U67" s="16">
        <f t="shared" si="1"/>
        <v>33374</v>
      </c>
      <c r="V67" s="16">
        <f t="shared" si="2"/>
        <v>0</v>
      </c>
      <c r="W67" s="16">
        <f>IF(ISNUMBER(F67),ROUND(F67/'05_Assumptions'!$B$4,0),"")</f>
        <v>2</v>
      </c>
      <c r="X67" s="16">
        <f t="shared" si="3"/>
        <v>1</v>
      </c>
      <c r="Y67" s="18" t="str">
        <f>IF(NOT(ISNUMBER(J67)),"",IF(J67=0,"no RHU",IF(F67/J67&gt;'05_Assumptions'!$B$4,"Yes","No")))</f>
        <v>Yes</v>
      </c>
      <c r="Z67" s="16">
        <f t="shared" si="4"/>
        <v>8</v>
      </c>
      <c r="AA67" s="19">
        <f t="shared" si="5"/>
        <v>1</v>
      </c>
      <c r="AB67" s="20">
        <f>IF(AND(ISNUMBER(F67),F67&gt;0,ISNUMBER(M67)),M67/F67*'05_Assumptions'!$B$6,"")</f>
        <v>0.8090130041</v>
      </c>
      <c r="AC67" s="13" t="s">
        <v>2027</v>
      </c>
      <c r="AD67" s="18">
        <f>IF(ISNUMBER(F67),ROUNDUP(F67/'05_Assumptions'!$B$4,0),"")</f>
        <v>2</v>
      </c>
      <c r="AE67" s="18">
        <f t="shared" si="6"/>
        <v>1</v>
      </c>
    </row>
    <row r="68" ht="15.75" customHeight="1">
      <c r="A68" s="13" t="s">
        <v>184</v>
      </c>
      <c r="B68" s="13" t="s">
        <v>644</v>
      </c>
      <c r="C68" s="13" t="s">
        <v>2126</v>
      </c>
      <c r="D68" s="13" t="s">
        <v>528</v>
      </c>
      <c r="E68" s="13" t="s">
        <v>2017</v>
      </c>
      <c r="F68" s="15">
        <v>32831.0</v>
      </c>
      <c r="G68" s="15">
        <v>14.0</v>
      </c>
      <c r="H68" s="15"/>
      <c r="I68" s="15">
        <v>7.0</v>
      </c>
      <c r="J68" s="15">
        <v>1.0</v>
      </c>
      <c r="K68" s="15">
        <v>6.0</v>
      </c>
      <c r="L68" s="15">
        <v>0.0</v>
      </c>
      <c r="M68" s="15">
        <v>2.0</v>
      </c>
      <c r="N68" s="13">
        <v>45.16</v>
      </c>
      <c r="O68" s="13">
        <v>33.38</v>
      </c>
      <c r="P68" s="13">
        <v>102.19</v>
      </c>
      <c r="Q68" s="13">
        <v>16.4</v>
      </c>
      <c r="R68" s="13">
        <v>4.0</v>
      </c>
      <c r="S68" s="13"/>
      <c r="T68" s="15">
        <v>32831.0</v>
      </c>
      <c r="U68" s="16">
        <f t="shared" si="1"/>
        <v>32831</v>
      </c>
      <c r="V68" s="16">
        <f t="shared" si="2"/>
        <v>0</v>
      </c>
      <c r="W68" s="16">
        <f>IF(ISNUMBER(F68),ROUND(F68/'05_Assumptions'!$B$4,0),"")</f>
        <v>2</v>
      </c>
      <c r="X68" s="16">
        <f t="shared" si="3"/>
        <v>1</v>
      </c>
      <c r="Y68" s="18" t="str">
        <f>IF(NOT(ISNUMBER(J68)),"",IF(J68=0,"no RHU",IF(F68/J68&gt;'05_Assumptions'!$B$4,"Yes","No")))</f>
        <v>Yes</v>
      </c>
      <c r="Z68" s="16">
        <f t="shared" si="4"/>
        <v>7</v>
      </c>
      <c r="AA68" s="19">
        <f t="shared" si="5"/>
        <v>0.5</v>
      </c>
      <c r="AB68" s="20">
        <f>IF(AND(ISNUMBER(F68),F68&gt;0,ISNUMBER(M68)),M68/F68*'05_Assumptions'!$B$6,"")</f>
        <v>0.06091803478</v>
      </c>
      <c r="AC68" s="13" t="s">
        <v>2027</v>
      </c>
      <c r="AD68" s="18">
        <f>IF(ISNUMBER(F68),ROUNDUP(F68/'05_Assumptions'!$B$4,0),"")</f>
        <v>2</v>
      </c>
      <c r="AE68" s="18">
        <f t="shared" si="6"/>
        <v>1</v>
      </c>
    </row>
    <row r="69" ht="15.75" customHeight="1">
      <c r="A69" s="13" t="s">
        <v>184</v>
      </c>
      <c r="B69" s="13" t="s">
        <v>644</v>
      </c>
      <c r="C69" s="13" t="s">
        <v>2132</v>
      </c>
      <c r="D69" s="13" t="s">
        <v>528</v>
      </c>
      <c r="E69" s="13" t="s">
        <v>2017</v>
      </c>
      <c r="F69" s="15">
        <v>31560.0</v>
      </c>
      <c r="G69" s="15">
        <v>11.0</v>
      </c>
      <c r="H69" s="15"/>
      <c r="I69" s="15">
        <v>6.0</v>
      </c>
      <c r="J69" s="15">
        <v>1.0</v>
      </c>
      <c r="K69" s="15">
        <v>3.0</v>
      </c>
      <c r="L69" s="15">
        <v>0.0</v>
      </c>
      <c r="M69" s="15">
        <v>6.0</v>
      </c>
      <c r="N69" s="13">
        <v>63.09</v>
      </c>
      <c r="O69" s="13">
        <v>73.79</v>
      </c>
      <c r="P69" s="13">
        <v>235.02</v>
      </c>
      <c r="Q69" s="13">
        <v>37.6</v>
      </c>
      <c r="R69" s="13">
        <v>4.62</v>
      </c>
      <c r="S69" s="13"/>
      <c r="T69" s="15">
        <v>31560.0</v>
      </c>
      <c r="U69" s="16">
        <f t="shared" si="1"/>
        <v>31560</v>
      </c>
      <c r="V69" s="16">
        <f t="shared" si="2"/>
        <v>0</v>
      </c>
      <c r="W69" s="16">
        <f>IF(ISNUMBER(F69),ROUND(F69/'05_Assumptions'!$B$4,0),"")</f>
        <v>2</v>
      </c>
      <c r="X69" s="16">
        <f t="shared" si="3"/>
        <v>1</v>
      </c>
      <c r="Y69" s="18" t="str">
        <f>IF(NOT(ISNUMBER(J69)),"",IF(J69=0,"no RHU",IF(F69/J69&gt;'05_Assumptions'!$B$4,"Yes","No")))</f>
        <v>Yes</v>
      </c>
      <c r="Z69" s="16">
        <f t="shared" si="4"/>
        <v>5</v>
      </c>
      <c r="AA69" s="19">
        <f t="shared" si="5"/>
        <v>0.4545454545</v>
      </c>
      <c r="AB69" s="20">
        <f>IF(AND(ISNUMBER(F69),F69&gt;0,ISNUMBER(M69)),M69/F69*'05_Assumptions'!$B$6,"")</f>
        <v>0.1901140684</v>
      </c>
      <c r="AC69" s="13" t="s">
        <v>2027</v>
      </c>
      <c r="AD69" s="18">
        <f>IF(ISNUMBER(F69),ROUNDUP(F69/'05_Assumptions'!$B$4,0),"")</f>
        <v>2</v>
      </c>
      <c r="AE69" s="18">
        <f t="shared" si="6"/>
        <v>1</v>
      </c>
    </row>
    <row r="70" ht="15.75" customHeight="1">
      <c r="A70" s="13" t="s">
        <v>184</v>
      </c>
      <c r="B70" s="13" t="s">
        <v>644</v>
      </c>
      <c r="C70" s="13" t="s">
        <v>2142</v>
      </c>
      <c r="D70" s="13" t="s">
        <v>528</v>
      </c>
      <c r="E70" s="13" t="s">
        <v>2017</v>
      </c>
      <c r="F70" s="15">
        <v>31329.0</v>
      </c>
      <c r="G70" s="15">
        <v>11.0</v>
      </c>
      <c r="H70" s="15"/>
      <c r="I70" s="15">
        <v>6.0</v>
      </c>
      <c r="J70" s="15">
        <v>1.0</v>
      </c>
      <c r="K70" s="15">
        <v>4.0</v>
      </c>
      <c r="L70" s="15">
        <v>0.0</v>
      </c>
      <c r="M70" s="15">
        <v>14.0</v>
      </c>
      <c r="N70" s="13">
        <v>55.51</v>
      </c>
      <c r="O70" s="13">
        <v>20.14</v>
      </c>
      <c r="P70" s="13">
        <v>160.73</v>
      </c>
      <c r="Q70" s="13">
        <v>25.7</v>
      </c>
      <c r="R70" s="13">
        <v>1.78</v>
      </c>
      <c r="S70" s="13"/>
      <c r="T70" s="15">
        <v>31329.0</v>
      </c>
      <c r="U70" s="16">
        <f t="shared" si="1"/>
        <v>31329</v>
      </c>
      <c r="V70" s="16">
        <f t="shared" si="2"/>
        <v>0</v>
      </c>
      <c r="W70" s="16">
        <f>IF(ISNUMBER(F70),ROUND(F70/'05_Assumptions'!$B$4,0),"")</f>
        <v>2</v>
      </c>
      <c r="X70" s="16">
        <f t="shared" si="3"/>
        <v>1</v>
      </c>
      <c r="Y70" s="18" t="str">
        <f>IF(NOT(ISNUMBER(J70)),"",IF(J70=0,"no RHU",IF(F70/J70&gt;'05_Assumptions'!$B$4,"Yes","No")))</f>
        <v>Yes</v>
      </c>
      <c r="Z70" s="16">
        <f t="shared" si="4"/>
        <v>5</v>
      </c>
      <c r="AA70" s="19">
        <f t="shared" si="5"/>
        <v>0.4545454545</v>
      </c>
      <c r="AB70" s="20">
        <f>IF(AND(ISNUMBER(F70),F70&gt;0,ISNUMBER(M70)),M70/F70*'05_Assumptions'!$B$6,"")</f>
        <v>0.4468703119</v>
      </c>
      <c r="AC70" s="13" t="s">
        <v>2027</v>
      </c>
      <c r="AD70" s="18">
        <f>IF(ISNUMBER(F70),ROUNDUP(F70/'05_Assumptions'!$B$4,0),"")</f>
        <v>2</v>
      </c>
      <c r="AE70" s="18">
        <f t="shared" si="6"/>
        <v>1</v>
      </c>
    </row>
    <row r="71" ht="15.75" customHeight="1">
      <c r="A71" s="13" t="s">
        <v>184</v>
      </c>
      <c r="B71" s="13" t="s">
        <v>644</v>
      </c>
      <c r="C71" s="13" t="s">
        <v>1227</v>
      </c>
      <c r="D71" s="13" t="s">
        <v>528</v>
      </c>
      <c r="E71" s="13" t="s">
        <v>2017</v>
      </c>
      <c r="F71" s="15">
        <v>31063.0</v>
      </c>
      <c r="G71" s="15">
        <v>16.0</v>
      </c>
      <c r="H71" s="15"/>
      <c r="I71" s="15">
        <v>10.0</v>
      </c>
      <c r="J71" s="15">
        <v>1.0</v>
      </c>
      <c r="K71" s="15">
        <v>5.0</v>
      </c>
      <c r="L71" s="15">
        <v>0.0</v>
      </c>
      <c r="M71" s="15">
        <v>14.0</v>
      </c>
      <c r="N71" s="13">
        <v>68.15</v>
      </c>
      <c r="O71" s="13">
        <v>58.1</v>
      </c>
      <c r="P71" s="13">
        <v>293.7</v>
      </c>
      <c r="Q71" s="13">
        <v>47.0</v>
      </c>
      <c r="R71" s="13">
        <v>0.42</v>
      </c>
      <c r="S71" s="13"/>
      <c r="T71" s="15">
        <v>31063.0</v>
      </c>
      <c r="U71" s="16">
        <f t="shared" si="1"/>
        <v>31063</v>
      </c>
      <c r="V71" s="16">
        <f t="shared" si="2"/>
        <v>0</v>
      </c>
      <c r="W71" s="16">
        <f>IF(ISNUMBER(F71),ROUND(F71/'05_Assumptions'!$B$4,0),"")</f>
        <v>2</v>
      </c>
      <c r="X71" s="16">
        <f t="shared" si="3"/>
        <v>1</v>
      </c>
      <c r="Y71" s="18" t="str">
        <f>IF(NOT(ISNUMBER(J71)),"",IF(J71=0,"no RHU",IF(F71/J71&gt;'05_Assumptions'!$B$4,"Yes","No")))</f>
        <v>Yes</v>
      </c>
      <c r="Z71" s="16">
        <f t="shared" si="4"/>
        <v>6</v>
      </c>
      <c r="AA71" s="19">
        <f t="shared" si="5"/>
        <v>0.375</v>
      </c>
      <c r="AB71" s="20">
        <f>IF(AND(ISNUMBER(F71),F71&gt;0,ISNUMBER(M71)),M71/F71*'05_Assumptions'!$B$6,"")</f>
        <v>0.4506969707</v>
      </c>
      <c r="AC71" s="13" t="s">
        <v>2027</v>
      </c>
      <c r="AD71" s="18">
        <f>IF(ISNUMBER(F71),ROUNDUP(F71/'05_Assumptions'!$B$4,0),"")</f>
        <v>2</v>
      </c>
      <c r="AE71" s="18">
        <f t="shared" si="6"/>
        <v>1</v>
      </c>
    </row>
    <row r="72" ht="15.75" customHeight="1">
      <c r="A72" s="13" t="s">
        <v>184</v>
      </c>
      <c r="B72" s="13" t="s">
        <v>644</v>
      </c>
      <c r="C72" s="13" t="s">
        <v>2199</v>
      </c>
      <c r="D72" s="13" t="s">
        <v>528</v>
      </c>
      <c r="E72" s="13" t="s">
        <v>2017</v>
      </c>
      <c r="F72" s="15">
        <v>29707.0</v>
      </c>
      <c r="G72" s="15">
        <v>16.0</v>
      </c>
      <c r="H72" s="15"/>
      <c r="I72" s="15">
        <v>7.0</v>
      </c>
      <c r="J72" s="15">
        <v>1.0</v>
      </c>
      <c r="K72" s="15">
        <v>7.0</v>
      </c>
      <c r="L72" s="15">
        <v>0.0</v>
      </c>
      <c r="M72" s="15">
        <v>7.0</v>
      </c>
      <c r="N72" s="13">
        <v>28.62</v>
      </c>
      <c r="O72" s="13">
        <v>39.13</v>
      </c>
      <c r="P72" s="13">
        <v>123.39</v>
      </c>
      <c r="Q72" s="13">
        <v>19.7</v>
      </c>
      <c r="R72" s="13">
        <v>2.94</v>
      </c>
      <c r="S72" s="13"/>
      <c r="T72" s="15">
        <v>29707.0</v>
      </c>
      <c r="U72" s="16">
        <f t="shared" si="1"/>
        <v>29707</v>
      </c>
      <c r="V72" s="16">
        <f t="shared" si="2"/>
        <v>0</v>
      </c>
      <c r="W72" s="16">
        <f>IF(ISNUMBER(F72),ROUND(F72/'05_Assumptions'!$B$4,0),"")</f>
        <v>1</v>
      </c>
      <c r="X72" s="16">
        <f t="shared" si="3"/>
        <v>0</v>
      </c>
      <c r="Y72" s="18" t="str">
        <f>IF(NOT(ISNUMBER(J72)),"",IF(J72=0,"no RHU",IF(F72/J72&gt;'05_Assumptions'!$B$4,"Yes","No")))</f>
        <v>Yes</v>
      </c>
      <c r="Z72" s="16">
        <f t="shared" si="4"/>
        <v>9</v>
      </c>
      <c r="AA72" s="19">
        <f t="shared" si="5"/>
        <v>0.5625</v>
      </c>
      <c r="AB72" s="20">
        <f>IF(AND(ISNUMBER(F72),F72&gt;0,ISNUMBER(M72)),M72/F72*'05_Assumptions'!$B$6,"")</f>
        <v>0.2356346989</v>
      </c>
      <c r="AC72" s="13" t="s">
        <v>2027</v>
      </c>
      <c r="AD72" s="18">
        <f>IF(ISNUMBER(F72),ROUNDUP(F72/'05_Assumptions'!$B$4,0),"")</f>
        <v>2</v>
      </c>
      <c r="AE72" s="18">
        <f t="shared" si="6"/>
        <v>1</v>
      </c>
    </row>
    <row r="73" ht="15.75" customHeight="1">
      <c r="A73" s="13" t="s">
        <v>184</v>
      </c>
      <c r="B73" s="13" t="s">
        <v>644</v>
      </c>
      <c r="C73" s="13" t="s">
        <v>2207</v>
      </c>
      <c r="D73" s="13" t="s">
        <v>528</v>
      </c>
      <c r="E73" s="13" t="s">
        <v>2017</v>
      </c>
      <c r="F73" s="15">
        <v>29244.0</v>
      </c>
      <c r="G73" s="15">
        <v>8.0</v>
      </c>
      <c r="H73" s="15"/>
      <c r="I73" s="15">
        <v>3.0</v>
      </c>
      <c r="J73" s="15">
        <v>1.0</v>
      </c>
      <c r="K73" s="15">
        <v>4.0</v>
      </c>
      <c r="L73" s="15">
        <v>0.0</v>
      </c>
      <c r="M73" s="15">
        <v>4.0</v>
      </c>
      <c r="N73" s="13">
        <v>55.41</v>
      </c>
      <c r="O73" s="13">
        <v>75.51</v>
      </c>
      <c r="P73" s="13">
        <v>80.91</v>
      </c>
      <c r="Q73" s="13">
        <v>12.9</v>
      </c>
      <c r="R73" s="13">
        <v>7.34</v>
      </c>
      <c r="S73" s="13"/>
      <c r="T73" s="15">
        <v>29244.0</v>
      </c>
      <c r="U73" s="16">
        <f t="shared" si="1"/>
        <v>29244</v>
      </c>
      <c r="V73" s="16">
        <f t="shared" si="2"/>
        <v>0</v>
      </c>
      <c r="W73" s="16">
        <f>IF(ISNUMBER(F73),ROUND(F73/'05_Assumptions'!$B$4,0),"")</f>
        <v>1</v>
      </c>
      <c r="X73" s="16">
        <f t="shared" si="3"/>
        <v>0</v>
      </c>
      <c r="Y73" s="18" t="str">
        <f>IF(NOT(ISNUMBER(J73)),"",IF(J73=0,"no RHU",IF(F73/J73&gt;'05_Assumptions'!$B$4,"Yes","No")))</f>
        <v>Yes</v>
      </c>
      <c r="Z73" s="16">
        <f t="shared" si="4"/>
        <v>5</v>
      </c>
      <c r="AA73" s="19">
        <f t="shared" si="5"/>
        <v>0.625</v>
      </c>
      <c r="AB73" s="20">
        <f>IF(AND(ISNUMBER(F73),F73&gt;0,ISNUMBER(M73)),M73/F73*'05_Assumptions'!$B$6,"")</f>
        <v>0.1367801942</v>
      </c>
      <c r="AC73" s="13" t="s">
        <v>2027</v>
      </c>
      <c r="AD73" s="18">
        <f>IF(ISNUMBER(F73),ROUNDUP(F73/'05_Assumptions'!$B$4,0),"")</f>
        <v>2</v>
      </c>
      <c r="AE73" s="18">
        <f t="shared" si="6"/>
        <v>1</v>
      </c>
    </row>
    <row r="74" ht="15.75" customHeight="1">
      <c r="A74" s="13" t="s">
        <v>184</v>
      </c>
      <c r="B74" s="13" t="s">
        <v>644</v>
      </c>
      <c r="C74" s="13" t="s">
        <v>2212</v>
      </c>
      <c r="D74" s="13" t="s">
        <v>528</v>
      </c>
      <c r="E74" s="13" t="s">
        <v>2017</v>
      </c>
      <c r="F74" s="15">
        <v>28511.0</v>
      </c>
      <c r="G74" s="15">
        <v>8.0</v>
      </c>
      <c r="H74" s="15"/>
      <c r="I74" s="15">
        <v>6.0</v>
      </c>
      <c r="J74" s="15">
        <v>1.0</v>
      </c>
      <c r="K74" s="15">
        <v>1.0</v>
      </c>
      <c r="L74" s="15">
        <v>0.0</v>
      </c>
      <c r="M74" s="15">
        <v>2.0</v>
      </c>
      <c r="N74" s="13">
        <v>58.24</v>
      </c>
      <c r="O74" s="13">
        <v>53.3</v>
      </c>
      <c r="P74" s="13">
        <v>128.17</v>
      </c>
      <c r="Q74" s="13">
        <v>20.5</v>
      </c>
      <c r="R74" s="13">
        <v>2.7</v>
      </c>
      <c r="S74" s="13"/>
      <c r="T74" s="15">
        <v>28511.0</v>
      </c>
      <c r="U74" s="16">
        <f t="shared" si="1"/>
        <v>28511</v>
      </c>
      <c r="V74" s="16">
        <f t="shared" si="2"/>
        <v>0</v>
      </c>
      <c r="W74" s="16">
        <f>IF(ISNUMBER(F74),ROUND(F74/'05_Assumptions'!$B$4,0),"")</f>
        <v>1</v>
      </c>
      <c r="X74" s="16">
        <f t="shared" si="3"/>
        <v>0</v>
      </c>
      <c r="Y74" s="18" t="str">
        <f>IF(NOT(ISNUMBER(J74)),"",IF(J74=0,"no RHU",IF(F74/J74&gt;'05_Assumptions'!$B$4,"Yes","No")))</f>
        <v>Yes</v>
      </c>
      <c r="Z74" s="16">
        <f t="shared" si="4"/>
        <v>2</v>
      </c>
      <c r="AA74" s="19">
        <f t="shared" si="5"/>
        <v>0.25</v>
      </c>
      <c r="AB74" s="20">
        <f>IF(AND(ISNUMBER(F74),F74&gt;0,ISNUMBER(M74)),M74/F74*'05_Assumptions'!$B$6,"")</f>
        <v>0.07014836379</v>
      </c>
      <c r="AC74" s="13" t="s">
        <v>2027</v>
      </c>
      <c r="AD74" s="18">
        <f>IF(ISNUMBER(F74),ROUNDUP(F74/'05_Assumptions'!$B$4,0),"")</f>
        <v>2</v>
      </c>
      <c r="AE74" s="18">
        <f t="shared" si="6"/>
        <v>1</v>
      </c>
    </row>
    <row r="75" ht="15.75" customHeight="1">
      <c r="A75" s="13" t="s">
        <v>184</v>
      </c>
      <c r="B75" s="13" t="s">
        <v>644</v>
      </c>
      <c r="C75" s="13" t="s">
        <v>1212</v>
      </c>
      <c r="D75" s="13" t="s">
        <v>528</v>
      </c>
      <c r="E75" s="13" t="s">
        <v>2017</v>
      </c>
      <c r="F75" s="15">
        <v>28471.0</v>
      </c>
      <c r="G75" s="15">
        <v>11.0</v>
      </c>
      <c r="H75" s="15"/>
      <c r="I75" s="15">
        <v>7.0</v>
      </c>
      <c r="J75" s="15">
        <v>1.0</v>
      </c>
      <c r="K75" s="15">
        <v>3.0</v>
      </c>
      <c r="L75" s="15">
        <v>1.0</v>
      </c>
      <c r="M75" s="15">
        <v>27.0</v>
      </c>
      <c r="N75" s="13">
        <v>83.16</v>
      </c>
      <c r="O75" s="13">
        <v>81.08</v>
      </c>
      <c r="P75" s="13">
        <v>216.38</v>
      </c>
      <c r="Q75" s="13">
        <v>34.6</v>
      </c>
      <c r="R75" s="13">
        <v>4.02</v>
      </c>
      <c r="S75" s="13"/>
      <c r="T75" s="15">
        <v>28471.0</v>
      </c>
      <c r="U75" s="16">
        <f t="shared" si="1"/>
        <v>28471</v>
      </c>
      <c r="V75" s="16">
        <f t="shared" si="2"/>
        <v>0</v>
      </c>
      <c r="W75" s="16">
        <f>IF(ISNUMBER(F75),ROUND(F75/'05_Assumptions'!$B$4,0),"")</f>
        <v>1</v>
      </c>
      <c r="X75" s="16">
        <f t="shared" si="3"/>
        <v>0</v>
      </c>
      <c r="Y75" s="18" t="str">
        <f>IF(NOT(ISNUMBER(J75)),"",IF(J75=0,"no RHU",IF(F75/J75&gt;'05_Assumptions'!$B$4,"Yes","No")))</f>
        <v>Yes</v>
      </c>
      <c r="Z75" s="16">
        <f t="shared" si="4"/>
        <v>4</v>
      </c>
      <c r="AA75" s="19">
        <f t="shared" si="5"/>
        <v>0.3636363636</v>
      </c>
      <c r="AB75" s="20">
        <f>IF(AND(ISNUMBER(F75),F75&gt;0,ISNUMBER(M75)),M75/F75*'05_Assumptions'!$B$6,"")</f>
        <v>0.9483333919</v>
      </c>
      <c r="AC75" s="13" t="s">
        <v>2027</v>
      </c>
      <c r="AD75" s="18">
        <f>IF(ISNUMBER(F75),ROUNDUP(F75/'05_Assumptions'!$B$4,0),"")</f>
        <v>2</v>
      </c>
      <c r="AE75" s="18">
        <f t="shared" si="6"/>
        <v>1</v>
      </c>
    </row>
    <row r="76" ht="15.75" customHeight="1">
      <c r="A76" s="13" t="s">
        <v>184</v>
      </c>
      <c r="B76" s="13" t="s">
        <v>644</v>
      </c>
      <c r="C76" s="13" t="s">
        <v>1230</v>
      </c>
      <c r="D76" s="13" t="s">
        <v>528</v>
      </c>
      <c r="E76" s="13" t="s">
        <v>2017</v>
      </c>
      <c r="F76" s="15">
        <v>27929.0</v>
      </c>
      <c r="G76" s="15">
        <v>12.0</v>
      </c>
      <c r="H76" s="15"/>
      <c r="I76" s="15">
        <v>2.0</v>
      </c>
      <c r="J76" s="15">
        <v>1.0</v>
      </c>
      <c r="K76" s="15">
        <v>8.0</v>
      </c>
      <c r="L76" s="15">
        <v>0.0</v>
      </c>
      <c r="M76" s="15">
        <v>22.0</v>
      </c>
      <c r="N76" s="13">
        <v>36.47</v>
      </c>
      <c r="O76" s="13">
        <v>30.03</v>
      </c>
      <c r="P76" s="13">
        <v>244.85</v>
      </c>
      <c r="Q76" s="13">
        <v>39.2</v>
      </c>
      <c r="R76" s="13">
        <v>4.51</v>
      </c>
      <c r="S76" s="13"/>
      <c r="T76" s="15">
        <v>27929.0</v>
      </c>
      <c r="U76" s="16">
        <f t="shared" si="1"/>
        <v>27929</v>
      </c>
      <c r="V76" s="16">
        <f t="shared" si="2"/>
        <v>0</v>
      </c>
      <c r="W76" s="16">
        <f>IF(ISNUMBER(F76),ROUND(F76/'05_Assumptions'!$B$4,0),"")</f>
        <v>1</v>
      </c>
      <c r="X76" s="16">
        <f t="shared" si="3"/>
        <v>0</v>
      </c>
      <c r="Y76" s="18" t="str">
        <f>IF(NOT(ISNUMBER(J76)),"",IF(J76=0,"no RHU",IF(F76/J76&gt;'05_Assumptions'!$B$4,"Yes","No")))</f>
        <v>Yes</v>
      </c>
      <c r="Z76" s="16">
        <f t="shared" si="4"/>
        <v>10</v>
      </c>
      <c r="AA76" s="19">
        <f t="shared" si="5"/>
        <v>0.8333333333</v>
      </c>
      <c r="AB76" s="20">
        <f>IF(AND(ISNUMBER(F76),F76&gt;0,ISNUMBER(M76)),M76/F76*'05_Assumptions'!$B$6,"")</f>
        <v>0.7877116975</v>
      </c>
      <c r="AC76" s="13" t="s">
        <v>2027</v>
      </c>
      <c r="AD76" s="18">
        <f>IF(ISNUMBER(F76),ROUNDUP(F76/'05_Assumptions'!$B$4,0),"")</f>
        <v>2</v>
      </c>
      <c r="AE76" s="18">
        <f t="shared" si="6"/>
        <v>1</v>
      </c>
    </row>
    <row r="77" ht="15.75" customHeight="1">
      <c r="A77" s="13" t="s">
        <v>184</v>
      </c>
      <c r="B77" s="13" t="s">
        <v>644</v>
      </c>
      <c r="C77" s="13" t="s">
        <v>1203</v>
      </c>
      <c r="D77" s="13" t="s">
        <v>528</v>
      </c>
      <c r="E77" s="13" t="s">
        <v>2017</v>
      </c>
      <c r="F77" s="15">
        <v>27678.0</v>
      </c>
      <c r="G77" s="15">
        <v>11.0</v>
      </c>
      <c r="H77" s="15"/>
      <c r="I77" s="15">
        <v>5.0</v>
      </c>
      <c r="J77" s="15">
        <v>1.0</v>
      </c>
      <c r="K77" s="15">
        <v>5.0</v>
      </c>
      <c r="L77" s="15">
        <v>1.0</v>
      </c>
      <c r="M77" s="15">
        <v>301.0</v>
      </c>
      <c r="N77" s="13">
        <v>24.43</v>
      </c>
      <c r="O77" s="13">
        <v>36.08</v>
      </c>
      <c r="P77" s="13">
        <v>64.17</v>
      </c>
      <c r="Q77" s="13">
        <v>10.3</v>
      </c>
      <c r="R77" s="13">
        <v>2.05</v>
      </c>
      <c r="S77" s="13"/>
      <c r="T77" s="15">
        <v>27678.0</v>
      </c>
      <c r="U77" s="16">
        <f t="shared" si="1"/>
        <v>27678</v>
      </c>
      <c r="V77" s="16">
        <f t="shared" si="2"/>
        <v>0</v>
      </c>
      <c r="W77" s="16">
        <f>IF(ISNUMBER(F77),ROUND(F77/'05_Assumptions'!$B$4,0),"")</f>
        <v>1</v>
      </c>
      <c r="X77" s="16">
        <f t="shared" si="3"/>
        <v>0</v>
      </c>
      <c r="Y77" s="18" t="str">
        <f>IF(NOT(ISNUMBER(J77)),"",IF(J77=0,"no RHU",IF(F77/J77&gt;'05_Assumptions'!$B$4,"Yes","No")))</f>
        <v>Yes</v>
      </c>
      <c r="Z77" s="16">
        <f t="shared" si="4"/>
        <v>6</v>
      </c>
      <c r="AA77" s="19">
        <f t="shared" si="5"/>
        <v>0.5454545455</v>
      </c>
      <c r="AB77" s="20">
        <f>IF(AND(ISNUMBER(F77),F77&gt;0,ISNUMBER(M77)),M77/F77*'05_Assumptions'!$B$6,"")</f>
        <v>10.87506323</v>
      </c>
      <c r="AC77" s="13" t="s">
        <v>2027</v>
      </c>
      <c r="AD77" s="18">
        <f>IF(ISNUMBER(F77),ROUNDUP(F77/'05_Assumptions'!$B$4,0),"")</f>
        <v>2</v>
      </c>
      <c r="AE77" s="18">
        <f t="shared" si="6"/>
        <v>1</v>
      </c>
    </row>
    <row r="78" ht="15.75" customHeight="1">
      <c r="A78" s="13" t="s">
        <v>184</v>
      </c>
      <c r="B78" s="13" t="s">
        <v>644</v>
      </c>
      <c r="C78" s="13" t="s">
        <v>2356</v>
      </c>
      <c r="D78" s="13" t="s">
        <v>528</v>
      </c>
      <c r="E78" s="13" t="s">
        <v>2017</v>
      </c>
      <c r="F78" s="15">
        <v>21317.0</v>
      </c>
      <c r="G78" s="15">
        <v>8.0</v>
      </c>
      <c r="H78" s="15"/>
      <c r="I78" s="15">
        <v>4.0</v>
      </c>
      <c r="J78" s="15">
        <v>1.0</v>
      </c>
      <c r="K78" s="15">
        <v>3.0</v>
      </c>
      <c r="L78" s="15">
        <v>0.0</v>
      </c>
      <c r="M78" s="15">
        <v>4.0</v>
      </c>
      <c r="N78" s="13">
        <v>56.81</v>
      </c>
      <c r="O78" s="13">
        <v>72.82</v>
      </c>
      <c r="P78" s="13">
        <v>191.02</v>
      </c>
      <c r="Q78" s="13">
        <v>30.6</v>
      </c>
      <c r="R78" s="13">
        <v>4.13</v>
      </c>
      <c r="S78" s="13"/>
      <c r="T78" s="15">
        <v>21317.0</v>
      </c>
      <c r="U78" s="16">
        <f t="shared" si="1"/>
        <v>21317</v>
      </c>
      <c r="V78" s="16">
        <f t="shared" si="2"/>
        <v>0</v>
      </c>
      <c r="W78" s="16">
        <f>IF(ISNUMBER(F78),ROUND(F78/'05_Assumptions'!$B$4,0),"")</f>
        <v>1</v>
      </c>
      <c r="X78" s="16">
        <f t="shared" si="3"/>
        <v>0</v>
      </c>
      <c r="Y78" s="18" t="str">
        <f>IF(NOT(ISNUMBER(J78)),"",IF(J78=0,"no RHU",IF(F78/J78&gt;'05_Assumptions'!$B$4,"Yes","No")))</f>
        <v>Yes</v>
      </c>
      <c r="Z78" s="16">
        <f t="shared" si="4"/>
        <v>4</v>
      </c>
      <c r="AA78" s="19">
        <f t="shared" si="5"/>
        <v>0.5</v>
      </c>
      <c r="AB78" s="20">
        <f>IF(AND(ISNUMBER(F78),F78&gt;0,ISNUMBER(M78)),M78/F78*'05_Assumptions'!$B$6,"")</f>
        <v>0.1876436647</v>
      </c>
      <c r="AC78" s="13" t="s">
        <v>2027</v>
      </c>
      <c r="AD78" s="18">
        <f>IF(ISNUMBER(F78),ROUNDUP(F78/'05_Assumptions'!$B$4,0),"")</f>
        <v>2</v>
      </c>
      <c r="AE78" s="18">
        <f t="shared" si="6"/>
        <v>1</v>
      </c>
    </row>
    <row r="79" ht="15.75" customHeight="1">
      <c r="A79" s="13" t="s">
        <v>184</v>
      </c>
      <c r="B79" s="13" t="s">
        <v>644</v>
      </c>
      <c r="C79" s="13" t="s">
        <v>2371</v>
      </c>
      <c r="D79" s="13" t="s">
        <v>528</v>
      </c>
      <c r="E79" s="13" t="s">
        <v>2017</v>
      </c>
      <c r="F79" s="15">
        <v>21295.0</v>
      </c>
      <c r="G79" s="15">
        <v>17.0</v>
      </c>
      <c r="H79" s="15"/>
      <c r="I79" s="15">
        <v>16.0</v>
      </c>
      <c r="J79" s="15">
        <v>1.0</v>
      </c>
      <c r="K79" s="15">
        <v>1.0</v>
      </c>
      <c r="L79" s="15">
        <v>0.0</v>
      </c>
      <c r="M79" s="15">
        <v>0.0</v>
      </c>
      <c r="N79" s="13">
        <v>75.95</v>
      </c>
      <c r="O79" s="13">
        <v>37.44</v>
      </c>
      <c r="P79" s="13">
        <v>135.65</v>
      </c>
      <c r="Q79" s="13">
        <v>21.7</v>
      </c>
      <c r="R79" s="13">
        <v>5.57</v>
      </c>
      <c r="S79" s="13"/>
      <c r="T79" s="15">
        <v>21295.0</v>
      </c>
      <c r="U79" s="16">
        <f t="shared" si="1"/>
        <v>21295</v>
      </c>
      <c r="V79" s="16">
        <f t="shared" si="2"/>
        <v>0</v>
      </c>
      <c r="W79" s="16">
        <f>IF(ISNUMBER(F79),ROUND(F79/'05_Assumptions'!$B$4,0),"")</f>
        <v>1</v>
      </c>
      <c r="X79" s="16">
        <f t="shared" si="3"/>
        <v>0</v>
      </c>
      <c r="Y79" s="18" t="str">
        <f>IF(NOT(ISNUMBER(J79)),"",IF(J79=0,"no RHU",IF(F79/J79&gt;'05_Assumptions'!$B$4,"Yes","No")))</f>
        <v>Yes</v>
      </c>
      <c r="Z79" s="16">
        <f t="shared" si="4"/>
        <v>1</v>
      </c>
      <c r="AA79" s="19">
        <f t="shared" si="5"/>
        <v>0.05882352941</v>
      </c>
      <c r="AB79" s="20">
        <f>IF(AND(ISNUMBER(F79),F79&gt;0,ISNUMBER(M79)),M79/F79*'05_Assumptions'!$B$6,"")</f>
        <v>0</v>
      </c>
      <c r="AC79" s="13" t="s">
        <v>2027</v>
      </c>
      <c r="AD79" s="18">
        <f>IF(ISNUMBER(F79),ROUNDUP(F79/'05_Assumptions'!$B$4,0),"")</f>
        <v>2</v>
      </c>
      <c r="AE79" s="18">
        <f t="shared" si="6"/>
        <v>1</v>
      </c>
    </row>
    <row r="80" ht="15.75" customHeight="1">
      <c r="A80" s="13" t="s">
        <v>184</v>
      </c>
      <c r="B80" s="13" t="s">
        <v>644</v>
      </c>
      <c r="C80" s="13" t="s">
        <v>2385</v>
      </c>
      <c r="D80" s="13" t="s">
        <v>528</v>
      </c>
      <c r="E80" s="13" t="s">
        <v>2017</v>
      </c>
      <c r="F80" s="15">
        <v>17186.0</v>
      </c>
      <c r="G80" s="15">
        <v>8.0</v>
      </c>
      <c r="H80" s="15"/>
      <c r="I80" s="15">
        <v>5.0</v>
      </c>
      <c r="J80" s="15">
        <v>1.0</v>
      </c>
      <c r="K80" s="15">
        <v>2.0</v>
      </c>
      <c r="L80" s="15">
        <v>0.0</v>
      </c>
      <c r="M80" s="15">
        <v>2.0</v>
      </c>
      <c r="N80" s="13">
        <v>78.06</v>
      </c>
      <c r="O80" s="13">
        <v>27.86</v>
      </c>
      <c r="P80" s="13">
        <v>121.57</v>
      </c>
      <c r="Q80" s="13">
        <v>19.5</v>
      </c>
      <c r="R80" s="13">
        <v>1.27</v>
      </c>
      <c r="S80" s="13"/>
      <c r="T80" s="15">
        <v>17186.0</v>
      </c>
      <c r="U80" s="16">
        <f t="shared" si="1"/>
        <v>17186</v>
      </c>
      <c r="V80" s="16">
        <f t="shared" si="2"/>
        <v>0</v>
      </c>
      <c r="W80" s="16">
        <f>IF(ISNUMBER(F80),ROUND(F80/'05_Assumptions'!$B$4,0),"")</f>
        <v>1</v>
      </c>
      <c r="X80" s="16">
        <f t="shared" si="3"/>
        <v>0</v>
      </c>
      <c r="Y80" s="18" t="str">
        <f>IF(NOT(ISNUMBER(J80)),"",IF(J80=0,"no RHU",IF(F80/J80&gt;'05_Assumptions'!$B$4,"Yes","No")))</f>
        <v>No</v>
      </c>
      <c r="Z80" s="16">
        <f t="shared" si="4"/>
        <v>3</v>
      </c>
      <c r="AA80" s="19">
        <f t="shared" si="5"/>
        <v>0.375</v>
      </c>
      <c r="AB80" s="20">
        <f>IF(AND(ISNUMBER(F80),F80&gt;0,ISNUMBER(M80)),M80/F80*'05_Assumptions'!$B$6,"")</f>
        <v>0.1163737926</v>
      </c>
      <c r="AC80" s="13" t="s">
        <v>2027</v>
      </c>
      <c r="AD80" s="18">
        <f>IF(ISNUMBER(F80),ROUNDUP(F80/'05_Assumptions'!$B$4,0),"")</f>
        <v>1</v>
      </c>
      <c r="AE80" s="18">
        <f t="shared" si="6"/>
        <v>0</v>
      </c>
    </row>
    <row r="81" ht="15.75" customHeight="1">
      <c r="A81" s="13" t="s">
        <v>184</v>
      </c>
      <c r="B81" s="13" t="s">
        <v>644</v>
      </c>
      <c r="C81" s="13" t="s">
        <v>1829</v>
      </c>
      <c r="D81" s="13" t="s">
        <v>1831</v>
      </c>
      <c r="E81" s="13" t="s">
        <v>2017</v>
      </c>
      <c r="F81" s="15">
        <v>813243.0</v>
      </c>
      <c r="G81" s="15">
        <v>287.0</v>
      </c>
      <c r="H81" s="15"/>
      <c r="I81" s="15">
        <v>132.0</v>
      </c>
      <c r="J81" s="15">
        <v>24.0</v>
      </c>
      <c r="K81" s="15">
        <v>128.0</v>
      </c>
      <c r="L81" s="15">
        <v>6.0</v>
      </c>
      <c r="M81" s="15">
        <v>784.0</v>
      </c>
      <c r="N81" s="13">
        <v>58.1</v>
      </c>
      <c r="O81" s="13">
        <v>58.83</v>
      </c>
      <c r="P81" s="13">
        <v>163.29</v>
      </c>
      <c r="Q81" s="13">
        <v>26.3</v>
      </c>
      <c r="R81" s="13">
        <v>3.96</v>
      </c>
      <c r="S81" s="13"/>
      <c r="T81" s="15">
        <v>33885.0</v>
      </c>
      <c r="U81" s="16">
        <f t="shared" si="1"/>
        <v>33885.125</v>
      </c>
      <c r="V81" s="16">
        <f t="shared" si="2"/>
        <v>0.125</v>
      </c>
      <c r="W81" s="16">
        <f>IF(ISNUMBER(F81),ROUND(F81/'05_Assumptions'!$B$4,0),"")</f>
        <v>41</v>
      </c>
      <c r="X81" s="16">
        <f t="shared" si="3"/>
        <v>17</v>
      </c>
      <c r="Y81" s="18" t="str">
        <f>IF(NOT(ISNUMBER(J81)),"",IF(J81=0,"no RHU",IF(F81/J81&gt;'05_Assumptions'!$B$4,"Yes","No")))</f>
        <v>Yes</v>
      </c>
      <c r="Z81" s="16">
        <f t="shared" si="4"/>
        <v>155</v>
      </c>
      <c r="AA81" s="19">
        <f t="shared" si="5"/>
        <v>0.5400696864</v>
      </c>
      <c r="AB81" s="20">
        <f>IF(AND(ISNUMBER(F81),F81&gt;0,ISNUMBER(M81)),M81/F81*'05_Assumptions'!$B$6,"")</f>
        <v>0.9640414981</v>
      </c>
      <c r="AC81" s="13" t="s">
        <v>2027</v>
      </c>
      <c r="AD81" s="18">
        <f>IF(ISNUMBER(F81),ROUNDUP(F81/'05_Assumptions'!$B$4,0),"")</f>
        <v>41</v>
      </c>
      <c r="AE81" s="18">
        <f t="shared" si="6"/>
        <v>17</v>
      </c>
    </row>
    <row r="82" ht="15.75" customHeight="1">
      <c r="A82" s="13" t="s">
        <v>212</v>
      </c>
      <c r="B82" s="13" t="s">
        <v>668</v>
      </c>
      <c r="C82" s="13" t="s">
        <v>1911</v>
      </c>
      <c r="D82" s="13" t="s">
        <v>528</v>
      </c>
      <c r="E82" s="13" t="s">
        <v>2414</v>
      </c>
      <c r="F82" s="15">
        <v>36427.0</v>
      </c>
      <c r="G82" s="15">
        <v>7.0</v>
      </c>
      <c r="H82" s="15">
        <v>7.0</v>
      </c>
      <c r="I82" s="15"/>
      <c r="J82" s="15">
        <v>2.0</v>
      </c>
      <c r="K82" s="15">
        <v>7.0</v>
      </c>
      <c r="L82" s="15"/>
      <c r="M82" s="15">
        <v>2.0</v>
      </c>
      <c r="N82" s="13"/>
      <c r="O82" s="13"/>
      <c r="P82" s="13"/>
      <c r="Q82" s="13"/>
      <c r="R82" s="13"/>
      <c r="S82" s="13"/>
      <c r="T82" s="15"/>
      <c r="U82" s="16">
        <f t="shared" si="1"/>
        <v>18213.5</v>
      </c>
      <c r="V82" s="16" t="str">
        <f t="shared" si="2"/>
        <v/>
      </c>
      <c r="W82" s="16">
        <f>IF(ISNUMBER(F82),ROUND(F82/'05_Assumptions'!$B$4,0),"")</f>
        <v>2</v>
      </c>
      <c r="X82" s="16">
        <f t="shared" si="3"/>
        <v>0</v>
      </c>
      <c r="Y82" s="18" t="str">
        <f>IF(NOT(ISNUMBER(J82)),"",IF(J82=0,"no RHU",IF(F82/J82&gt;'05_Assumptions'!$B$4,"Yes","No")))</f>
        <v>No</v>
      </c>
      <c r="Z82" s="16">
        <f t="shared" si="4"/>
        <v>7</v>
      </c>
      <c r="AA82" s="19">
        <f t="shared" si="5"/>
        <v>1</v>
      </c>
      <c r="AB82" s="20">
        <f>IF(AND(ISNUMBER(F82),F82&gt;0,ISNUMBER(M82)),M82/F82*'05_Assumptions'!$B$6,"")</f>
        <v>0.05490432921</v>
      </c>
      <c r="AC82" s="13" t="s">
        <v>2415</v>
      </c>
      <c r="AD82" s="18">
        <f>IF(ISNUMBER(F82),ROUNDUP(F82/'05_Assumptions'!$B$4,0),"")</f>
        <v>2</v>
      </c>
      <c r="AE82" s="18">
        <f t="shared" si="6"/>
        <v>0</v>
      </c>
    </row>
    <row r="83" ht="15.75" customHeight="1">
      <c r="A83" s="13" t="s">
        <v>212</v>
      </c>
      <c r="B83" s="13" t="s">
        <v>668</v>
      </c>
      <c r="C83" s="13" t="s">
        <v>1913</v>
      </c>
      <c r="D83" s="13" t="s">
        <v>528</v>
      </c>
      <c r="E83" s="13" t="s">
        <v>2414</v>
      </c>
      <c r="F83" s="15">
        <v>33721.0</v>
      </c>
      <c r="G83" s="15">
        <v>9.0</v>
      </c>
      <c r="H83" s="15">
        <v>9.0</v>
      </c>
      <c r="I83" s="15"/>
      <c r="J83" s="15">
        <v>1.0</v>
      </c>
      <c r="K83" s="15">
        <v>8.0</v>
      </c>
      <c r="L83" s="15"/>
      <c r="M83" s="15">
        <v>2.0</v>
      </c>
      <c r="N83" s="13"/>
      <c r="O83" s="13"/>
      <c r="P83" s="13"/>
      <c r="Q83" s="13"/>
      <c r="R83" s="13"/>
      <c r="S83" s="13"/>
      <c r="T83" s="15"/>
      <c r="U83" s="16">
        <f t="shared" si="1"/>
        <v>33721</v>
      </c>
      <c r="V83" s="16" t="str">
        <f t="shared" si="2"/>
        <v/>
      </c>
      <c r="W83" s="16">
        <f>IF(ISNUMBER(F83),ROUND(F83/'05_Assumptions'!$B$4,0),"")</f>
        <v>2</v>
      </c>
      <c r="X83" s="16">
        <f t="shared" si="3"/>
        <v>1</v>
      </c>
      <c r="Y83" s="18" t="str">
        <f>IF(NOT(ISNUMBER(J83)),"",IF(J83=0,"no RHU",IF(F83/J83&gt;'05_Assumptions'!$B$4,"Yes","No")))</f>
        <v>Yes</v>
      </c>
      <c r="Z83" s="16">
        <f t="shared" si="4"/>
        <v>9</v>
      </c>
      <c r="AA83" s="19">
        <f t="shared" si="5"/>
        <v>1</v>
      </c>
      <c r="AB83" s="20">
        <f>IF(AND(ISNUMBER(F83),F83&gt;0,ISNUMBER(M83)),M83/F83*'05_Assumptions'!$B$6,"")</f>
        <v>0.05931022212</v>
      </c>
      <c r="AC83" s="13" t="s">
        <v>2415</v>
      </c>
      <c r="AD83" s="18">
        <f>IF(ISNUMBER(F83),ROUNDUP(F83/'05_Assumptions'!$B$4,0),"")</f>
        <v>2</v>
      </c>
      <c r="AE83" s="18">
        <f t="shared" si="6"/>
        <v>1</v>
      </c>
    </row>
    <row r="84" ht="15.75" customHeight="1">
      <c r="A84" s="13" t="s">
        <v>212</v>
      </c>
      <c r="B84" s="13" t="s">
        <v>668</v>
      </c>
      <c r="C84" s="13" t="s">
        <v>1914</v>
      </c>
      <c r="D84" s="13" t="s">
        <v>528</v>
      </c>
      <c r="E84" s="13" t="s">
        <v>2414</v>
      </c>
      <c r="F84" s="15">
        <v>29191.0</v>
      </c>
      <c r="G84" s="15">
        <v>7.0</v>
      </c>
      <c r="H84" s="15">
        <v>7.0</v>
      </c>
      <c r="I84" s="15"/>
      <c r="J84" s="15">
        <v>1.0</v>
      </c>
      <c r="K84" s="15">
        <v>7.0</v>
      </c>
      <c r="L84" s="15"/>
      <c r="M84" s="15">
        <v>0.0</v>
      </c>
      <c r="N84" s="13"/>
      <c r="O84" s="13"/>
      <c r="P84" s="13"/>
      <c r="Q84" s="13"/>
      <c r="R84" s="13"/>
      <c r="S84" s="13"/>
      <c r="T84" s="15"/>
      <c r="U84" s="16">
        <f t="shared" si="1"/>
        <v>29191</v>
      </c>
      <c r="V84" s="16" t="str">
        <f t="shared" si="2"/>
        <v/>
      </c>
      <c r="W84" s="16">
        <f>IF(ISNUMBER(F84),ROUND(F84/'05_Assumptions'!$B$4,0),"")</f>
        <v>1</v>
      </c>
      <c r="X84" s="16">
        <f t="shared" si="3"/>
        <v>0</v>
      </c>
      <c r="Y84" s="18" t="str">
        <f>IF(NOT(ISNUMBER(J84)),"",IF(J84=0,"no RHU",IF(F84/J84&gt;'05_Assumptions'!$B$4,"Yes","No")))</f>
        <v>Yes</v>
      </c>
      <c r="Z84" s="16">
        <f t="shared" si="4"/>
        <v>7</v>
      </c>
      <c r="AA84" s="19">
        <f t="shared" si="5"/>
        <v>1</v>
      </c>
      <c r="AB84" s="20">
        <f>IF(AND(ISNUMBER(F84),F84&gt;0,ISNUMBER(M84)),M84/F84*'05_Assumptions'!$B$6,"")</f>
        <v>0</v>
      </c>
      <c r="AC84" s="13" t="s">
        <v>2415</v>
      </c>
      <c r="AD84" s="18">
        <f>IF(ISNUMBER(F84),ROUNDUP(F84/'05_Assumptions'!$B$4,0),"")</f>
        <v>2</v>
      </c>
      <c r="AE84" s="18">
        <f t="shared" si="6"/>
        <v>1</v>
      </c>
    </row>
    <row r="85" ht="15.75" customHeight="1">
      <c r="A85" s="13" t="s">
        <v>212</v>
      </c>
      <c r="B85" s="13" t="s">
        <v>668</v>
      </c>
      <c r="C85" s="13" t="s">
        <v>1909</v>
      </c>
      <c r="D85" s="13" t="s">
        <v>528</v>
      </c>
      <c r="E85" s="13" t="s">
        <v>2414</v>
      </c>
      <c r="F85" s="15">
        <v>28322.0</v>
      </c>
      <c r="G85" s="15">
        <v>7.0</v>
      </c>
      <c r="H85" s="15">
        <v>7.0</v>
      </c>
      <c r="I85" s="15"/>
      <c r="J85" s="15">
        <v>1.0</v>
      </c>
      <c r="K85" s="15">
        <v>5.0</v>
      </c>
      <c r="L85" s="15"/>
      <c r="M85" s="15">
        <v>0.0</v>
      </c>
      <c r="N85" s="13"/>
      <c r="O85" s="13"/>
      <c r="P85" s="13"/>
      <c r="Q85" s="13"/>
      <c r="R85" s="13"/>
      <c r="S85" s="13"/>
      <c r="T85" s="15"/>
      <c r="U85" s="16">
        <f t="shared" si="1"/>
        <v>28322</v>
      </c>
      <c r="V85" s="16" t="str">
        <f t="shared" si="2"/>
        <v/>
      </c>
      <c r="W85" s="16">
        <f>IF(ISNUMBER(F85),ROUND(F85/'05_Assumptions'!$B$4,0),"")</f>
        <v>1</v>
      </c>
      <c r="X85" s="16">
        <f t="shared" si="3"/>
        <v>0</v>
      </c>
      <c r="Y85" s="18" t="str">
        <f>IF(NOT(ISNUMBER(J85)),"",IF(J85=0,"no RHU",IF(F85/J85&gt;'05_Assumptions'!$B$4,"Yes","No")))</f>
        <v>Yes</v>
      </c>
      <c r="Z85" s="16">
        <f t="shared" si="4"/>
        <v>7</v>
      </c>
      <c r="AA85" s="19">
        <f t="shared" si="5"/>
        <v>1</v>
      </c>
      <c r="AB85" s="20">
        <f>IF(AND(ISNUMBER(F85),F85&gt;0,ISNUMBER(M85)),M85/F85*'05_Assumptions'!$B$6,"")</f>
        <v>0</v>
      </c>
      <c r="AC85" s="13" t="s">
        <v>2415</v>
      </c>
      <c r="AD85" s="18">
        <f>IF(ISNUMBER(F85),ROUNDUP(F85/'05_Assumptions'!$B$4,0),"")</f>
        <v>2</v>
      </c>
      <c r="AE85" s="18">
        <f t="shared" si="6"/>
        <v>1</v>
      </c>
    </row>
    <row r="86" ht="15.75" customHeight="1">
      <c r="A86" s="13" t="s">
        <v>212</v>
      </c>
      <c r="B86" s="13" t="s">
        <v>668</v>
      </c>
      <c r="C86" s="13" t="s">
        <v>1910</v>
      </c>
      <c r="D86" s="13" t="s">
        <v>528</v>
      </c>
      <c r="E86" s="13" t="s">
        <v>2414</v>
      </c>
      <c r="F86" s="15">
        <v>26099.0</v>
      </c>
      <c r="G86" s="15">
        <v>7.0</v>
      </c>
      <c r="H86" s="15">
        <v>7.0</v>
      </c>
      <c r="I86" s="15"/>
      <c r="J86" s="15">
        <v>1.0</v>
      </c>
      <c r="K86" s="15">
        <v>7.0</v>
      </c>
      <c r="L86" s="15"/>
      <c r="M86" s="15">
        <v>0.0</v>
      </c>
      <c r="N86" s="13"/>
      <c r="O86" s="13"/>
      <c r="P86" s="13"/>
      <c r="Q86" s="13"/>
      <c r="R86" s="13"/>
      <c r="S86" s="13"/>
      <c r="T86" s="15"/>
      <c r="U86" s="16">
        <f t="shared" si="1"/>
        <v>26099</v>
      </c>
      <c r="V86" s="16" t="str">
        <f t="shared" si="2"/>
        <v/>
      </c>
      <c r="W86" s="16">
        <f>IF(ISNUMBER(F86),ROUND(F86/'05_Assumptions'!$B$4,0),"")</f>
        <v>1</v>
      </c>
      <c r="X86" s="16">
        <f t="shared" si="3"/>
        <v>0</v>
      </c>
      <c r="Y86" s="18" t="str">
        <f>IF(NOT(ISNUMBER(J86)),"",IF(J86=0,"no RHU",IF(F86/J86&gt;'05_Assumptions'!$B$4,"Yes","No")))</f>
        <v>Yes</v>
      </c>
      <c r="Z86" s="16">
        <f t="shared" si="4"/>
        <v>7</v>
      </c>
      <c r="AA86" s="19">
        <f t="shared" si="5"/>
        <v>1</v>
      </c>
      <c r="AB86" s="20">
        <f>IF(AND(ISNUMBER(F86),F86&gt;0,ISNUMBER(M86)),M86/F86*'05_Assumptions'!$B$6,"")</f>
        <v>0</v>
      </c>
      <c r="AC86" s="13" t="s">
        <v>2415</v>
      </c>
      <c r="AD86" s="18">
        <f>IF(ISNUMBER(F86),ROUNDUP(F86/'05_Assumptions'!$B$4,0),"")</f>
        <v>2</v>
      </c>
      <c r="AE86" s="18">
        <f t="shared" si="6"/>
        <v>1</v>
      </c>
    </row>
    <row r="87" ht="15.75" customHeight="1">
      <c r="A87" s="13" t="s">
        <v>212</v>
      </c>
      <c r="B87" s="13" t="s">
        <v>668</v>
      </c>
      <c r="C87" s="13" t="s">
        <v>1912</v>
      </c>
      <c r="D87" s="13" t="s">
        <v>528</v>
      </c>
      <c r="E87" s="13" t="s">
        <v>2414</v>
      </c>
      <c r="F87" s="15">
        <v>25500.0</v>
      </c>
      <c r="G87" s="15">
        <v>7.0</v>
      </c>
      <c r="H87" s="15">
        <v>7.0</v>
      </c>
      <c r="I87" s="15"/>
      <c r="J87" s="15">
        <v>1.0</v>
      </c>
      <c r="K87" s="15">
        <v>7.0</v>
      </c>
      <c r="L87" s="15"/>
      <c r="M87" s="15">
        <v>0.0</v>
      </c>
      <c r="N87" s="13"/>
      <c r="O87" s="13"/>
      <c r="P87" s="13"/>
      <c r="Q87" s="13"/>
      <c r="R87" s="13"/>
      <c r="S87" s="13"/>
      <c r="T87" s="15"/>
      <c r="U87" s="16">
        <f t="shared" si="1"/>
        <v>25500</v>
      </c>
      <c r="V87" s="16" t="str">
        <f t="shared" si="2"/>
        <v/>
      </c>
      <c r="W87" s="16">
        <f>IF(ISNUMBER(F87),ROUND(F87/'05_Assumptions'!$B$4,0),"")</f>
        <v>1</v>
      </c>
      <c r="X87" s="16">
        <f t="shared" si="3"/>
        <v>0</v>
      </c>
      <c r="Y87" s="18" t="str">
        <f>IF(NOT(ISNUMBER(J87)),"",IF(J87=0,"no RHU",IF(F87/J87&gt;'05_Assumptions'!$B$4,"Yes","No")))</f>
        <v>Yes</v>
      </c>
      <c r="Z87" s="16">
        <f t="shared" si="4"/>
        <v>7</v>
      </c>
      <c r="AA87" s="19">
        <f t="shared" si="5"/>
        <v>1</v>
      </c>
      <c r="AB87" s="20">
        <f>IF(AND(ISNUMBER(F87),F87&gt;0,ISNUMBER(M87)),M87/F87*'05_Assumptions'!$B$6,"")</f>
        <v>0</v>
      </c>
      <c r="AC87" s="13" t="s">
        <v>2415</v>
      </c>
      <c r="AD87" s="18">
        <f>IF(ISNUMBER(F87),ROUNDUP(F87/'05_Assumptions'!$B$4,0),"")</f>
        <v>2</v>
      </c>
      <c r="AE87" s="18">
        <f t="shared" si="6"/>
        <v>1</v>
      </c>
    </row>
    <row r="88" ht="15.75" customHeight="1">
      <c r="A88" s="13" t="s">
        <v>212</v>
      </c>
      <c r="B88" s="13" t="s">
        <v>668</v>
      </c>
      <c r="C88" s="13" t="s">
        <v>1916</v>
      </c>
      <c r="D88" s="13" t="s">
        <v>528</v>
      </c>
      <c r="E88" s="13" t="s">
        <v>2414</v>
      </c>
      <c r="F88" s="15">
        <v>19262.0</v>
      </c>
      <c r="G88" s="15">
        <v>12.0</v>
      </c>
      <c r="H88" s="15">
        <v>12.0</v>
      </c>
      <c r="I88" s="15"/>
      <c r="J88" s="15">
        <v>1.0</v>
      </c>
      <c r="K88" s="15">
        <v>11.0</v>
      </c>
      <c r="L88" s="15"/>
      <c r="M88" s="15">
        <v>0.0</v>
      </c>
      <c r="N88" s="13"/>
      <c r="O88" s="13"/>
      <c r="P88" s="13"/>
      <c r="Q88" s="13"/>
      <c r="R88" s="13"/>
      <c r="S88" s="13"/>
      <c r="T88" s="15"/>
      <c r="U88" s="16">
        <f t="shared" si="1"/>
        <v>19262</v>
      </c>
      <c r="V88" s="16" t="str">
        <f t="shared" si="2"/>
        <v/>
      </c>
      <c r="W88" s="16">
        <f>IF(ISNUMBER(F88),ROUND(F88/'05_Assumptions'!$B$4,0),"")</f>
        <v>1</v>
      </c>
      <c r="X88" s="16">
        <f t="shared" si="3"/>
        <v>0</v>
      </c>
      <c r="Y88" s="18" t="str">
        <f>IF(NOT(ISNUMBER(J88)),"",IF(J88=0,"no RHU",IF(F88/J88&gt;'05_Assumptions'!$B$4,"Yes","No")))</f>
        <v>No</v>
      </c>
      <c r="Z88" s="16">
        <f t="shared" si="4"/>
        <v>12</v>
      </c>
      <c r="AA88" s="19">
        <f t="shared" si="5"/>
        <v>1</v>
      </c>
      <c r="AB88" s="20">
        <f>IF(AND(ISNUMBER(F88),F88&gt;0,ISNUMBER(M88)),M88/F88*'05_Assumptions'!$B$6,"")</f>
        <v>0</v>
      </c>
      <c r="AC88" s="13" t="s">
        <v>2415</v>
      </c>
      <c r="AD88" s="18">
        <f>IF(ISNUMBER(F88),ROUNDUP(F88/'05_Assumptions'!$B$4,0),"")</f>
        <v>1</v>
      </c>
      <c r="AE88" s="18">
        <f t="shared" si="6"/>
        <v>0</v>
      </c>
    </row>
    <row r="89" ht="15.75" customHeight="1">
      <c r="A89" s="13" t="s">
        <v>212</v>
      </c>
      <c r="B89" s="13" t="s">
        <v>668</v>
      </c>
      <c r="C89" s="13" t="s">
        <v>1915</v>
      </c>
      <c r="D89" s="13" t="s">
        <v>528</v>
      </c>
      <c r="E89" s="13" t="s">
        <v>2414</v>
      </c>
      <c r="F89" s="15">
        <v>16181.0</v>
      </c>
      <c r="G89" s="15">
        <v>7.0</v>
      </c>
      <c r="H89" s="15">
        <v>7.0</v>
      </c>
      <c r="I89" s="15"/>
      <c r="J89" s="15">
        <v>1.0</v>
      </c>
      <c r="K89" s="15">
        <v>5.0</v>
      </c>
      <c r="L89" s="15"/>
      <c r="M89" s="15">
        <v>0.0</v>
      </c>
      <c r="N89" s="13"/>
      <c r="O89" s="13"/>
      <c r="P89" s="13"/>
      <c r="Q89" s="13"/>
      <c r="R89" s="13"/>
      <c r="S89" s="13"/>
      <c r="T89" s="15"/>
      <c r="U89" s="16">
        <f t="shared" si="1"/>
        <v>16181</v>
      </c>
      <c r="V89" s="16" t="str">
        <f t="shared" si="2"/>
        <v/>
      </c>
      <c r="W89" s="16">
        <f>IF(ISNUMBER(F89),ROUND(F89/'05_Assumptions'!$B$4,0),"")</f>
        <v>1</v>
      </c>
      <c r="X89" s="16">
        <f t="shared" si="3"/>
        <v>0</v>
      </c>
      <c r="Y89" s="18" t="str">
        <f>IF(NOT(ISNUMBER(J89)),"",IF(J89=0,"no RHU",IF(F89/J89&gt;'05_Assumptions'!$B$4,"Yes","No")))</f>
        <v>No</v>
      </c>
      <c r="Z89" s="16">
        <f t="shared" si="4"/>
        <v>7</v>
      </c>
      <c r="AA89" s="19">
        <f t="shared" si="5"/>
        <v>1</v>
      </c>
      <c r="AB89" s="20">
        <f>IF(AND(ISNUMBER(F89),F89&gt;0,ISNUMBER(M89)),M89/F89*'05_Assumptions'!$B$6,"")</f>
        <v>0</v>
      </c>
      <c r="AC89" s="13" t="s">
        <v>2415</v>
      </c>
      <c r="AD89" s="18">
        <f>IF(ISNUMBER(F89),ROUNDUP(F89/'05_Assumptions'!$B$4,0),"")</f>
        <v>1</v>
      </c>
      <c r="AE89" s="18">
        <f t="shared" si="6"/>
        <v>0</v>
      </c>
    </row>
    <row r="90" ht="15.75" customHeight="1">
      <c r="A90" s="13" t="s">
        <v>212</v>
      </c>
      <c r="B90" s="13" t="s">
        <v>668</v>
      </c>
      <c r="C90" s="13" t="s">
        <v>1917</v>
      </c>
      <c r="D90" s="13" t="s">
        <v>1831</v>
      </c>
      <c r="E90" s="13" t="s">
        <v>2414</v>
      </c>
      <c r="F90" s="15">
        <v>214703.0</v>
      </c>
      <c r="G90" s="15">
        <v>63.0</v>
      </c>
      <c r="H90" s="15">
        <v>63.0</v>
      </c>
      <c r="I90" s="15"/>
      <c r="J90" s="15">
        <v>9.0</v>
      </c>
      <c r="K90" s="15">
        <v>57.0</v>
      </c>
      <c r="L90" s="15"/>
      <c r="M90" s="15">
        <v>4.0</v>
      </c>
      <c r="N90" s="13"/>
      <c r="O90" s="13"/>
      <c r="P90" s="13"/>
      <c r="Q90" s="13"/>
      <c r="R90" s="13"/>
      <c r="S90" s="13"/>
      <c r="T90" s="15"/>
      <c r="U90" s="16">
        <f t="shared" si="1"/>
        <v>23855.88889</v>
      </c>
      <c r="V90" s="16" t="str">
        <f t="shared" si="2"/>
        <v/>
      </c>
      <c r="W90" s="16">
        <f>IF(ISNUMBER(F90),ROUND(F90/'05_Assumptions'!$B$4,0),"")</f>
        <v>11</v>
      </c>
      <c r="X90" s="16">
        <f t="shared" si="3"/>
        <v>2</v>
      </c>
      <c r="Y90" s="18" t="str">
        <f>IF(NOT(ISNUMBER(J90)),"",IF(J90=0,"no RHU",IF(F90/J90&gt;'05_Assumptions'!$B$4,"Yes","No")))</f>
        <v>Yes</v>
      </c>
      <c r="Z90" s="16">
        <f t="shared" si="4"/>
        <v>63</v>
      </c>
      <c r="AA90" s="19">
        <f t="shared" si="5"/>
        <v>1</v>
      </c>
      <c r="AB90" s="20">
        <f>IF(AND(ISNUMBER(F90),F90&gt;0,ISNUMBER(M90)),M90/F90*'05_Assumptions'!$B$6,"")</f>
        <v>0.01863038709</v>
      </c>
      <c r="AC90" s="13" t="s">
        <v>2415</v>
      </c>
      <c r="AD90" s="18">
        <f>IF(ISNUMBER(F90),ROUNDUP(F90/'05_Assumptions'!$B$4,0),"")</f>
        <v>11</v>
      </c>
      <c r="AE90" s="18">
        <f t="shared" si="6"/>
        <v>2</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90"/>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4.0"/>
    <col customWidth="1" min="2" max="2" width="10.0"/>
    <col customWidth="1" min="3" max="3" width="40.0"/>
    <col customWidth="1" min="4" max="20" width="13.0"/>
    <col customWidth="1" min="21" max="21" width="70.0"/>
    <col customWidth="1" min="22" max="26" width="8.71"/>
  </cols>
  <sheetData>
    <row r="1">
      <c r="A1" s="2" t="s">
        <v>547</v>
      </c>
      <c r="B1" s="2" t="s">
        <v>549</v>
      </c>
      <c r="C1" s="2" t="s">
        <v>385</v>
      </c>
      <c r="D1" s="2" t="s">
        <v>553</v>
      </c>
      <c r="E1" s="2" t="s">
        <v>555</v>
      </c>
      <c r="F1" s="2" t="s">
        <v>557</v>
      </c>
      <c r="G1" s="2" t="s">
        <v>558</v>
      </c>
      <c r="H1" s="2" t="s">
        <v>555</v>
      </c>
      <c r="I1" s="2" t="s">
        <v>557</v>
      </c>
      <c r="J1" s="2" t="s">
        <v>560</v>
      </c>
      <c r="K1" s="2" t="s">
        <v>555</v>
      </c>
      <c r="L1" s="2" t="s">
        <v>557</v>
      </c>
      <c r="M1" s="2" t="s">
        <v>563</v>
      </c>
      <c r="N1" s="2" t="s">
        <v>555</v>
      </c>
      <c r="O1" s="2" t="s">
        <v>557</v>
      </c>
      <c r="P1" s="2" t="s">
        <v>568</v>
      </c>
      <c r="Q1" s="2" t="s">
        <v>570</v>
      </c>
      <c r="R1" s="2" t="s">
        <v>571</v>
      </c>
      <c r="S1" s="2" t="s">
        <v>573</v>
      </c>
      <c r="T1" s="2" t="s">
        <v>557</v>
      </c>
      <c r="U1" s="2" t="s">
        <v>575</v>
      </c>
    </row>
    <row r="2">
      <c r="A2" s="8" t="s">
        <v>526</v>
      </c>
      <c r="B2" s="8" t="s">
        <v>128</v>
      </c>
      <c r="C2" s="8" t="s">
        <v>578</v>
      </c>
      <c r="D2" s="8">
        <v>1368137.0</v>
      </c>
      <c r="E2" s="17">
        <f>SUMIFS('10_Municipal_Master'!$F$2:$F$90,'10_Municipal_Master'!$A$2:$A$90,$B2,'10_Municipal_Master'!$D$2:$D$90,"LGU")</f>
        <v>1368137</v>
      </c>
      <c r="F2" s="17">
        <f t="shared" ref="F2:F5" si="1">E2-D2</f>
        <v>0</v>
      </c>
      <c r="G2" s="8">
        <v>1159.0</v>
      </c>
      <c r="H2" s="17">
        <f>SUMIFS('10_Municipal_Master'!$G$2:$G$90,'10_Municipal_Master'!$A$2:$A$90,$B2,'10_Municipal_Master'!$D$2:$D$90,"LGU")</f>
        <v>1164</v>
      </c>
      <c r="I2" s="17">
        <f t="shared" ref="I2:I5" si="2">H2-G2</f>
        <v>5</v>
      </c>
      <c r="J2" s="8">
        <v>44.0</v>
      </c>
      <c r="K2" s="17">
        <f>SUMIFS('10_Municipal_Master'!$J$2:$J$90,'10_Municipal_Master'!$A$2:$A$90,$B2,'10_Municipal_Master'!$D$2:$D$90,"LGU")</f>
        <v>44</v>
      </c>
      <c r="L2" s="17">
        <f t="shared" ref="L2:L5" si="3">K2-J2</f>
        <v>0</v>
      </c>
      <c r="M2" s="8">
        <v>11.0</v>
      </c>
      <c r="N2" s="17">
        <f>SUMIFS('10_Municipal_Master'!$L$2:$L$90,'10_Municipal_Master'!$A$2:$A$90,$B2,'10_Municipal_Master'!$D$2:$D$90,"LGU")</f>
        <v>11</v>
      </c>
      <c r="O2" s="17">
        <f t="shared" ref="O2:O5" si="4">N2-M2</f>
        <v>0</v>
      </c>
      <c r="P2" s="17">
        <f>ROUND(E2/'05_Assumptions'!$B$4,0)</f>
        <v>68</v>
      </c>
      <c r="Q2" s="8">
        <v>68.0</v>
      </c>
      <c r="R2" s="17">
        <f t="shared" ref="R2:R5" si="5">MAX(0,P2-K2)</f>
        <v>24</v>
      </c>
      <c r="S2" s="8">
        <v>24.0</v>
      </c>
      <c r="T2" s="17">
        <f t="shared" ref="T2:T5" si="6">R2-S2</f>
        <v>0</v>
      </c>
      <c r="U2" s="8" t="s">
        <v>620</v>
      </c>
    </row>
    <row r="3">
      <c r="A3" s="8" t="s">
        <v>622</v>
      </c>
      <c r="B3" s="8" t="s">
        <v>158</v>
      </c>
      <c r="C3" s="8" t="s">
        <v>578</v>
      </c>
      <c r="D3" s="8">
        <v>741428.0</v>
      </c>
      <c r="E3" s="17">
        <f>SUMIFS('10_Municipal_Master'!$F$2:$F$90,'10_Municipal_Master'!$A$2:$A$90,$B3,'10_Municipal_Master'!$D$2:$D$90,"LGU")</f>
        <v>741428</v>
      </c>
      <c r="F3" s="17">
        <f t="shared" si="1"/>
        <v>0</v>
      </c>
      <c r="G3" s="8">
        <v>221.0</v>
      </c>
      <c r="H3" s="17">
        <f>SUMIFS('10_Municipal_Master'!$G$2:$G$90,'10_Municipal_Master'!$A$2:$A$90,$B3,'10_Municipal_Master'!$D$2:$D$90,"LGU")</f>
        <v>221</v>
      </c>
      <c r="I3" s="17">
        <f t="shared" si="2"/>
        <v>0</v>
      </c>
      <c r="J3" s="8">
        <v>12.0</v>
      </c>
      <c r="K3" s="17">
        <f>SUMIFS('10_Municipal_Master'!$J$2:$J$90,'10_Municipal_Master'!$A$2:$A$90,$B3,'10_Municipal_Master'!$D$2:$D$90,"LGU")</f>
        <v>12</v>
      </c>
      <c r="L3" s="17">
        <f t="shared" si="3"/>
        <v>0</v>
      </c>
      <c r="M3" s="8">
        <v>4.0</v>
      </c>
      <c r="N3" s="17">
        <f>SUMIFS('10_Municipal_Master'!$L$2:$L$90,'10_Municipal_Master'!$A$2:$A$90,$B3,'10_Municipal_Master'!$D$2:$D$90,"LGU")</f>
        <v>6</v>
      </c>
      <c r="O3" s="17">
        <f t="shared" si="4"/>
        <v>2</v>
      </c>
      <c r="P3" s="17">
        <f>ROUND(E3/'05_Assumptions'!$B$4,0)</f>
        <v>37</v>
      </c>
      <c r="Q3" s="8">
        <v>37.0</v>
      </c>
      <c r="R3" s="17">
        <f t="shared" si="5"/>
        <v>25</v>
      </c>
      <c r="S3" s="8">
        <v>25.0</v>
      </c>
      <c r="T3" s="17">
        <f t="shared" si="6"/>
        <v>0</v>
      </c>
      <c r="U3" s="8" t="s">
        <v>642</v>
      </c>
    </row>
    <row r="4">
      <c r="A4" s="8" t="s">
        <v>644</v>
      </c>
      <c r="B4" s="8" t="s">
        <v>184</v>
      </c>
      <c r="C4" s="8" t="s">
        <v>578</v>
      </c>
      <c r="D4" s="8">
        <v>813243.0</v>
      </c>
      <c r="E4" s="17">
        <f>SUMIFS('10_Municipal_Master'!$F$2:$F$90,'10_Municipal_Master'!$A$2:$A$90,$B4,'10_Municipal_Master'!$D$2:$D$90,"LGU")</f>
        <v>813243</v>
      </c>
      <c r="F4" s="17">
        <f t="shared" si="1"/>
        <v>0</v>
      </c>
      <c r="G4" s="8">
        <v>287.0</v>
      </c>
      <c r="H4" s="17">
        <f>SUMIFS('10_Municipal_Master'!$G$2:$G$90,'10_Municipal_Master'!$A$2:$A$90,$B4,'10_Municipal_Master'!$D$2:$D$90,"LGU")</f>
        <v>287</v>
      </c>
      <c r="I4" s="17">
        <f t="shared" si="2"/>
        <v>0</v>
      </c>
      <c r="J4" s="8">
        <v>24.0</v>
      </c>
      <c r="K4" s="17">
        <f>SUMIFS('10_Municipal_Master'!$J$2:$J$90,'10_Municipal_Master'!$A$2:$A$90,$B4,'10_Municipal_Master'!$D$2:$D$90,"LGU")</f>
        <v>24</v>
      </c>
      <c r="L4" s="17">
        <f t="shared" si="3"/>
        <v>0</v>
      </c>
      <c r="M4" s="8">
        <v>6.0</v>
      </c>
      <c r="N4" s="17">
        <f>SUMIFS('10_Municipal_Master'!$L$2:$L$90,'10_Municipal_Master'!$A$2:$A$90,$B4,'10_Municipal_Master'!$D$2:$D$90,"LGU")</f>
        <v>6</v>
      </c>
      <c r="O4" s="17">
        <f t="shared" si="4"/>
        <v>0</v>
      </c>
      <c r="P4" s="17">
        <f>ROUND(E4/'05_Assumptions'!$B$4,0)</f>
        <v>41</v>
      </c>
      <c r="Q4" s="8">
        <v>41.0</v>
      </c>
      <c r="R4" s="17">
        <f t="shared" si="5"/>
        <v>17</v>
      </c>
      <c r="S4" s="8">
        <v>17.0</v>
      </c>
      <c r="T4" s="17">
        <f t="shared" si="6"/>
        <v>0</v>
      </c>
      <c r="U4" s="8" t="s">
        <v>667</v>
      </c>
    </row>
    <row r="5">
      <c r="A5" s="8" t="s">
        <v>668</v>
      </c>
      <c r="B5" s="8" t="s">
        <v>212</v>
      </c>
      <c r="C5" s="8" t="s">
        <v>578</v>
      </c>
      <c r="D5" s="8">
        <v>214703.0</v>
      </c>
      <c r="E5" s="17">
        <f>SUMIFS('10_Municipal_Master'!$F$2:$F$90,'10_Municipal_Master'!$A$2:$A$90,$B5,'10_Municipal_Master'!$D$2:$D$90,"LGU")</f>
        <v>214703</v>
      </c>
      <c r="F5" s="17">
        <f t="shared" si="1"/>
        <v>0</v>
      </c>
      <c r="G5" s="8">
        <v>63.0</v>
      </c>
      <c r="H5" s="17">
        <f>SUMIFS('10_Municipal_Master'!$G$2:$G$90,'10_Municipal_Master'!$A$2:$A$90,$B5,'10_Municipal_Master'!$D$2:$D$90,"LGU")</f>
        <v>63</v>
      </c>
      <c r="I5" s="17">
        <f t="shared" si="2"/>
        <v>0</v>
      </c>
      <c r="J5" s="8">
        <v>9.0</v>
      </c>
      <c r="K5" s="17">
        <f>SUMIFS('10_Municipal_Master'!$J$2:$J$90,'10_Municipal_Master'!$A$2:$A$90,$B5,'10_Municipal_Master'!$D$2:$D$90,"LGU")</f>
        <v>9</v>
      </c>
      <c r="L5" s="17">
        <f t="shared" si="3"/>
        <v>0</v>
      </c>
      <c r="M5" s="8">
        <v>0.0</v>
      </c>
      <c r="N5" s="17">
        <f>SUMIFS('10_Municipal_Master'!$L$2:$L$90,'10_Municipal_Master'!$A$2:$A$90,$B5,'10_Municipal_Master'!$D$2:$D$90,"LGU")</f>
        <v>0</v>
      </c>
      <c r="O5" s="17">
        <f t="shared" si="4"/>
        <v>0</v>
      </c>
      <c r="P5" s="17">
        <f>ROUND(E5/'05_Assumptions'!$B$4,0)</f>
        <v>11</v>
      </c>
      <c r="Q5" s="8">
        <v>11.0</v>
      </c>
      <c r="R5" s="17">
        <f t="shared" si="5"/>
        <v>2</v>
      </c>
      <c r="S5" s="8">
        <v>2.0</v>
      </c>
      <c r="T5" s="17">
        <f t="shared" si="6"/>
        <v>0</v>
      </c>
      <c r="U5" s="8" t="s">
        <v>692</v>
      </c>
    </row>
    <row r="6">
      <c r="A6" s="8" t="s">
        <v>696</v>
      </c>
      <c r="B6" s="8" t="s">
        <v>34</v>
      </c>
      <c r="C6" s="8" t="s">
        <v>697</v>
      </c>
      <c r="D6" s="8">
        <f t="shared" ref="D6:T6" si="7">SUM(D2:D5)</f>
        <v>3137511</v>
      </c>
      <c r="E6" s="8">
        <f t="shared" si="7"/>
        <v>3137511</v>
      </c>
      <c r="F6" s="8">
        <f t="shared" si="7"/>
        <v>0</v>
      </c>
      <c r="G6" s="8">
        <f t="shared" si="7"/>
        <v>1730</v>
      </c>
      <c r="H6" s="8">
        <f t="shared" si="7"/>
        <v>1735</v>
      </c>
      <c r="I6" s="8">
        <f t="shared" si="7"/>
        <v>5</v>
      </c>
      <c r="J6" s="8">
        <f t="shared" si="7"/>
        <v>89</v>
      </c>
      <c r="K6" s="8">
        <f t="shared" si="7"/>
        <v>89</v>
      </c>
      <c r="L6" s="8">
        <f t="shared" si="7"/>
        <v>0</v>
      </c>
      <c r="M6" s="8">
        <f t="shared" si="7"/>
        <v>21</v>
      </c>
      <c r="N6" s="8">
        <f t="shared" si="7"/>
        <v>23</v>
      </c>
      <c r="O6" s="8">
        <f t="shared" si="7"/>
        <v>2</v>
      </c>
      <c r="P6" s="8">
        <f t="shared" si="7"/>
        <v>157</v>
      </c>
      <c r="Q6" s="8">
        <f t="shared" si="7"/>
        <v>157</v>
      </c>
      <c r="R6" s="8">
        <f t="shared" si="7"/>
        <v>68</v>
      </c>
      <c r="S6" s="8">
        <f t="shared" si="7"/>
        <v>68</v>
      </c>
      <c r="T6" s="8">
        <f t="shared" si="7"/>
        <v>0</v>
      </c>
      <c r="U6" s="8" t="s">
        <v>708</v>
      </c>
    </row>
    <row r="8">
      <c r="A8" s="21" t="s">
        <v>709</v>
      </c>
    </row>
    <row r="9">
      <c r="A9" s="22" t="s">
        <v>547</v>
      </c>
      <c r="B9" s="22" t="s">
        <v>714</v>
      </c>
      <c r="C9" s="22" t="s">
        <v>715</v>
      </c>
      <c r="D9" s="22" t="s">
        <v>716</v>
      </c>
      <c r="E9" s="22" t="s">
        <v>718</v>
      </c>
      <c r="F9" s="22" t="s">
        <v>719</v>
      </c>
      <c r="G9" s="22" t="s">
        <v>720</v>
      </c>
      <c r="H9" s="22" t="s">
        <v>721</v>
      </c>
      <c r="I9" s="22" t="s">
        <v>722</v>
      </c>
      <c r="J9" s="22" t="s">
        <v>724</v>
      </c>
      <c r="K9" s="22" t="s">
        <v>725</v>
      </c>
      <c r="L9" s="22" t="s">
        <v>727</v>
      </c>
      <c r="M9" s="22" t="s">
        <v>728</v>
      </c>
      <c r="N9" s="22" t="s">
        <v>730</v>
      </c>
      <c r="O9" s="22" t="s">
        <v>731</v>
      </c>
      <c r="P9" s="22" t="s">
        <v>733</v>
      </c>
    </row>
    <row r="10">
      <c r="A10" s="8" t="s">
        <v>526</v>
      </c>
      <c r="B10" s="8">
        <v>40.0</v>
      </c>
      <c r="C10" s="8" t="s">
        <v>735</v>
      </c>
      <c r="D10" s="8">
        <v>1368137.0</v>
      </c>
      <c r="E10" s="8">
        <v>242.0</v>
      </c>
      <c r="F10" s="8" t="s">
        <v>736</v>
      </c>
      <c r="G10" s="8">
        <v>128.0</v>
      </c>
      <c r="H10" s="8" t="s">
        <v>737</v>
      </c>
      <c r="I10" s="8">
        <v>1022.0</v>
      </c>
      <c r="J10" s="8">
        <v>0.75</v>
      </c>
      <c r="K10" s="8">
        <v>86.0</v>
      </c>
      <c r="L10" s="8">
        <v>4.34</v>
      </c>
      <c r="M10" s="8">
        <v>25.7</v>
      </c>
      <c r="N10" s="8">
        <v>30.46</v>
      </c>
      <c r="O10" s="8" t="s">
        <v>740</v>
      </c>
      <c r="P10" s="8">
        <v>0.0</v>
      </c>
    </row>
    <row r="11">
      <c r="A11" s="8" t="s">
        <v>622</v>
      </c>
      <c r="B11" s="8">
        <v>12.0</v>
      </c>
      <c r="C11" s="8">
        <v>221.0</v>
      </c>
      <c r="D11" s="8">
        <v>741428.0</v>
      </c>
      <c r="E11" s="8">
        <v>224.0</v>
      </c>
      <c r="F11" s="8" t="s">
        <v>743</v>
      </c>
      <c r="G11" s="8">
        <v>175.0</v>
      </c>
      <c r="H11" s="8" t="s">
        <v>744</v>
      </c>
      <c r="I11" s="8">
        <v>360.0</v>
      </c>
      <c r="J11" s="8">
        <v>0.49</v>
      </c>
      <c r="K11" s="8">
        <v>52.0</v>
      </c>
      <c r="L11" s="8">
        <v>2.47</v>
      </c>
      <c r="M11" s="8">
        <v>27.7</v>
      </c>
      <c r="N11" s="8">
        <v>34.09</v>
      </c>
      <c r="O11" s="8" t="s">
        <v>746</v>
      </c>
      <c r="P11" s="8">
        <v>0.0</v>
      </c>
    </row>
    <row r="12">
      <c r="A12" s="8" t="s">
        <v>644</v>
      </c>
      <c r="B12" s="8">
        <v>24.0</v>
      </c>
      <c r="C12" s="8">
        <v>287.0</v>
      </c>
      <c r="D12" s="8">
        <v>813243.0</v>
      </c>
      <c r="E12" s="8">
        <v>222.0</v>
      </c>
      <c r="F12" s="8" t="s">
        <v>747</v>
      </c>
      <c r="G12" s="8">
        <v>155.0</v>
      </c>
      <c r="H12" s="8" t="s">
        <v>748</v>
      </c>
      <c r="I12" s="8">
        <v>648.0</v>
      </c>
      <c r="J12" s="8">
        <v>0.8</v>
      </c>
      <c r="K12" s="8">
        <v>91.0</v>
      </c>
      <c r="L12" s="8">
        <v>3.96</v>
      </c>
      <c r="M12" s="8">
        <v>26.3</v>
      </c>
      <c r="N12" s="8">
        <v>32.16</v>
      </c>
      <c r="O12" s="8" t="s">
        <v>749</v>
      </c>
      <c r="P12" s="8">
        <v>0.0</v>
      </c>
    </row>
    <row r="13">
      <c r="A13" s="8" t="s">
        <v>668</v>
      </c>
      <c r="B13" s="8">
        <v>8.0</v>
      </c>
      <c r="C13" s="8">
        <v>63.0</v>
      </c>
      <c r="D13" s="8">
        <v>214703.0</v>
      </c>
      <c r="E13" s="8">
        <v>68.0</v>
      </c>
      <c r="F13" s="8" t="s">
        <v>751</v>
      </c>
      <c r="G13" s="8">
        <v>57.0</v>
      </c>
      <c r="H13" s="8" t="s">
        <v>753</v>
      </c>
      <c r="I13" s="8">
        <v>0.0</v>
      </c>
      <c r="J13" s="8">
        <v>0.0</v>
      </c>
      <c r="K13" s="8">
        <v>0.0</v>
      </c>
      <c r="L13" s="8" t="s">
        <v>755</v>
      </c>
      <c r="M13" s="8" t="s">
        <v>755</v>
      </c>
      <c r="N13" s="8">
        <v>11.25</v>
      </c>
      <c r="O13" s="8" t="s">
        <v>756</v>
      </c>
      <c r="P13" s="8">
        <v>0.0</v>
      </c>
    </row>
    <row r="14">
      <c r="A14" s="8" t="s">
        <v>696</v>
      </c>
      <c r="B14" s="8">
        <v>84.0</v>
      </c>
      <c r="C14" s="8">
        <v>1735.0</v>
      </c>
      <c r="D14" s="8">
        <v>3137511.0</v>
      </c>
      <c r="E14" s="8">
        <v>756.0</v>
      </c>
      <c r="F14" s="8" t="s">
        <v>759</v>
      </c>
      <c r="G14" s="8">
        <v>515.0</v>
      </c>
      <c r="H14" s="8" t="s">
        <v>760</v>
      </c>
      <c r="I14" s="8">
        <v>2030.0</v>
      </c>
      <c r="J14" s="8">
        <v>0.65</v>
      </c>
      <c r="K14" s="8" t="s">
        <v>761</v>
      </c>
      <c r="L14" s="8" t="s">
        <v>344</v>
      </c>
      <c r="M14" s="8" t="s">
        <v>762</v>
      </c>
      <c r="N14" s="8" t="s">
        <v>763</v>
      </c>
      <c r="O14" s="8" t="s">
        <v>764</v>
      </c>
      <c r="P14" s="8">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46.0"/>
    <col customWidth="1" min="2" max="12" width="13.0"/>
    <col customWidth="1" min="13" max="26" width="8.71"/>
  </cols>
  <sheetData>
    <row r="1">
      <c r="A1" s="23" t="s">
        <v>841</v>
      </c>
    </row>
    <row r="2">
      <c r="A2" s="24" t="s">
        <v>842</v>
      </c>
    </row>
    <row r="4">
      <c r="A4" s="25" t="s">
        <v>845</v>
      </c>
      <c r="B4" s="26"/>
      <c r="C4" s="26"/>
      <c r="D4" s="26"/>
      <c r="E4" s="26"/>
      <c r="F4" s="26"/>
      <c r="G4" s="26"/>
      <c r="H4" s="26"/>
      <c r="I4" s="26"/>
      <c r="J4" s="26"/>
      <c r="K4" s="26"/>
      <c r="L4" s="26"/>
    </row>
    <row r="5">
      <c r="A5" s="27" t="s">
        <v>853</v>
      </c>
      <c r="B5" s="26"/>
      <c r="C5" s="26"/>
      <c r="D5" s="26"/>
      <c r="E5" s="26"/>
      <c r="F5" s="26"/>
      <c r="G5" s="26"/>
      <c r="H5" s="26"/>
      <c r="I5" s="26"/>
      <c r="J5" s="26"/>
      <c r="K5" s="26"/>
      <c r="L5" s="26"/>
    </row>
    <row r="6">
      <c r="A6" s="2" t="s">
        <v>858</v>
      </c>
      <c r="B6" s="2" t="s">
        <v>128</v>
      </c>
      <c r="C6" s="2" t="s">
        <v>158</v>
      </c>
      <c r="D6" s="2" t="s">
        <v>184</v>
      </c>
      <c r="E6" s="2" t="s">
        <v>212</v>
      </c>
      <c r="F6" s="2" t="s">
        <v>861</v>
      </c>
      <c r="G6" s="2" t="s">
        <v>862</v>
      </c>
      <c r="H6" s="2" t="s">
        <v>863</v>
      </c>
      <c r="I6" s="2" t="s">
        <v>864</v>
      </c>
      <c r="J6" s="2" t="s">
        <v>34</v>
      </c>
      <c r="K6" s="2" t="s">
        <v>865</v>
      </c>
      <c r="L6" s="2" t="s">
        <v>867</v>
      </c>
    </row>
    <row r="7">
      <c r="A7" s="8" t="s">
        <v>477</v>
      </c>
      <c r="B7" s="8">
        <v>14.0</v>
      </c>
      <c r="C7" s="8">
        <v>7.0</v>
      </c>
      <c r="D7" s="8">
        <v>11.0</v>
      </c>
      <c r="E7" s="8">
        <v>0.0</v>
      </c>
      <c r="F7" s="8">
        <v>7.0</v>
      </c>
      <c r="G7" s="8">
        <v>8.0</v>
      </c>
      <c r="H7" s="8">
        <v>5.0</v>
      </c>
      <c r="I7" s="8">
        <v>6.0</v>
      </c>
      <c r="J7" s="8">
        <v>58.0</v>
      </c>
      <c r="K7" s="17">
        <f t="shared" ref="K7:K18" si="1">SUM(B7:I7)</f>
        <v>58</v>
      </c>
      <c r="L7" s="17">
        <f t="shared" ref="L7:L18" si="2">IF(ISNUMBER(J7),K7-J7,"")</f>
        <v>0</v>
      </c>
    </row>
    <row r="8">
      <c r="A8" s="8" t="s">
        <v>876</v>
      </c>
      <c r="B8" s="8">
        <v>1.0</v>
      </c>
      <c r="C8" s="8">
        <v>0.0</v>
      </c>
      <c r="D8" s="8">
        <v>0.0</v>
      </c>
      <c r="E8" s="8">
        <v>0.0</v>
      </c>
      <c r="F8" s="8">
        <v>0.0</v>
      </c>
      <c r="G8" s="8">
        <v>0.0</v>
      </c>
      <c r="H8" s="8">
        <v>0.0</v>
      </c>
      <c r="I8" s="8">
        <v>1.0</v>
      </c>
      <c r="J8" s="8">
        <v>2.0</v>
      </c>
      <c r="K8" s="17">
        <f t="shared" si="1"/>
        <v>2</v>
      </c>
      <c r="L8" s="17">
        <f t="shared" si="2"/>
        <v>0</v>
      </c>
    </row>
    <row r="9">
      <c r="A9" s="8" t="s">
        <v>881</v>
      </c>
      <c r="B9" s="8">
        <v>0.0</v>
      </c>
      <c r="C9" s="8">
        <v>0.0</v>
      </c>
      <c r="D9" s="8">
        <v>1.0</v>
      </c>
      <c r="E9" s="8">
        <v>0.0</v>
      </c>
      <c r="F9" s="8">
        <v>0.0</v>
      </c>
      <c r="G9" s="8">
        <v>0.0</v>
      </c>
      <c r="H9" s="8">
        <v>0.0</v>
      </c>
      <c r="I9" s="8">
        <v>1.0</v>
      </c>
      <c r="J9" s="8">
        <v>2.0</v>
      </c>
      <c r="K9" s="17">
        <f t="shared" si="1"/>
        <v>2</v>
      </c>
      <c r="L9" s="17">
        <f t="shared" si="2"/>
        <v>0</v>
      </c>
    </row>
    <row r="10">
      <c r="A10" s="8" t="s">
        <v>886</v>
      </c>
      <c r="B10" s="8">
        <v>8.0</v>
      </c>
      <c r="C10" s="8">
        <v>5.0</v>
      </c>
      <c r="D10" s="8">
        <v>3.0</v>
      </c>
      <c r="E10" s="8">
        <v>0.0</v>
      </c>
      <c r="F10" s="8">
        <v>5.0</v>
      </c>
      <c r="G10" s="8">
        <v>5.0</v>
      </c>
      <c r="H10" s="8">
        <v>1.0</v>
      </c>
      <c r="I10" s="8">
        <v>3.0</v>
      </c>
      <c r="J10" s="8">
        <v>30.0</v>
      </c>
      <c r="K10" s="17">
        <f t="shared" si="1"/>
        <v>30</v>
      </c>
      <c r="L10" s="17">
        <f t="shared" si="2"/>
        <v>0</v>
      </c>
    </row>
    <row r="11">
      <c r="A11" s="8" t="s">
        <v>889</v>
      </c>
      <c r="B11" s="8">
        <v>5.0</v>
      </c>
      <c r="C11" s="8">
        <v>2.0</v>
      </c>
      <c r="D11" s="8">
        <v>7.0</v>
      </c>
      <c r="E11" s="8">
        <v>0.0</v>
      </c>
      <c r="F11" s="8">
        <v>2.0</v>
      </c>
      <c r="G11" s="8">
        <v>3.0</v>
      </c>
      <c r="H11" s="8">
        <v>4.0</v>
      </c>
      <c r="I11" s="8">
        <v>1.0</v>
      </c>
      <c r="J11" s="8">
        <v>24.0</v>
      </c>
      <c r="K11" s="17">
        <f t="shared" si="1"/>
        <v>24</v>
      </c>
      <c r="L11" s="17">
        <f t="shared" si="2"/>
        <v>0</v>
      </c>
    </row>
    <row r="12">
      <c r="A12" s="8" t="s">
        <v>893</v>
      </c>
      <c r="B12" s="8">
        <v>28.0</v>
      </c>
      <c r="C12" s="8">
        <v>13.0</v>
      </c>
      <c r="D12" s="8">
        <v>23.0</v>
      </c>
      <c r="E12" s="8">
        <v>0.0</v>
      </c>
      <c r="F12" s="8">
        <v>7.0</v>
      </c>
      <c r="G12" s="8">
        <v>7.0</v>
      </c>
      <c r="H12" s="8">
        <v>3.0</v>
      </c>
      <c r="I12" s="8">
        <v>1.0</v>
      </c>
      <c r="J12" s="8">
        <v>82.0</v>
      </c>
      <c r="K12" s="17">
        <f t="shared" si="1"/>
        <v>82</v>
      </c>
      <c r="L12" s="17">
        <f t="shared" si="2"/>
        <v>0</v>
      </c>
    </row>
    <row r="13">
      <c r="A13" s="8" t="s">
        <v>897</v>
      </c>
      <c r="B13" s="8">
        <v>13.0</v>
      </c>
      <c r="C13" s="8">
        <v>11.0</v>
      </c>
      <c r="D13" s="8">
        <v>19.0</v>
      </c>
      <c r="E13" s="8">
        <v>0.0</v>
      </c>
      <c r="F13" s="8">
        <v>5.0</v>
      </c>
      <c r="G13" s="8">
        <v>6.0</v>
      </c>
      <c r="H13" s="8">
        <v>2.0</v>
      </c>
      <c r="I13" s="8">
        <v>1.0</v>
      </c>
      <c r="J13" s="8">
        <v>57.0</v>
      </c>
      <c r="K13" s="17">
        <f t="shared" si="1"/>
        <v>57</v>
      </c>
      <c r="L13" s="17">
        <f t="shared" si="2"/>
        <v>0</v>
      </c>
    </row>
    <row r="14">
      <c r="A14" s="8" t="s">
        <v>900</v>
      </c>
      <c r="B14" s="8">
        <v>33.0</v>
      </c>
      <c r="C14" s="8">
        <v>19.0</v>
      </c>
      <c r="D14" s="8">
        <v>28.0</v>
      </c>
      <c r="E14" s="8">
        <v>0.0</v>
      </c>
      <c r="F14" s="8">
        <v>20.0</v>
      </c>
      <c r="G14" s="8">
        <v>11.0</v>
      </c>
      <c r="H14" s="8">
        <v>2.0</v>
      </c>
      <c r="I14" s="8">
        <v>2.0</v>
      </c>
      <c r="J14" s="8">
        <v>115.0</v>
      </c>
      <c r="K14" s="17">
        <f t="shared" si="1"/>
        <v>115</v>
      </c>
      <c r="L14" s="17">
        <f t="shared" si="2"/>
        <v>0</v>
      </c>
    </row>
    <row r="15">
      <c r="A15" s="8" t="s">
        <v>905</v>
      </c>
      <c r="B15" s="8">
        <v>4.0</v>
      </c>
      <c r="C15" s="8">
        <v>9.0</v>
      </c>
      <c r="D15" s="8">
        <v>26.0</v>
      </c>
      <c r="E15" s="8">
        <v>0.0</v>
      </c>
      <c r="F15" s="8">
        <v>5.0</v>
      </c>
      <c r="G15" s="8">
        <v>0.0</v>
      </c>
      <c r="H15" s="8">
        <v>2.0</v>
      </c>
      <c r="I15" s="8">
        <v>5.0</v>
      </c>
      <c r="J15" s="8">
        <v>51.0</v>
      </c>
      <c r="K15" s="17">
        <f t="shared" si="1"/>
        <v>51</v>
      </c>
      <c r="L15" s="17">
        <f t="shared" si="2"/>
        <v>0</v>
      </c>
    </row>
    <row r="16">
      <c r="A16" s="8" t="s">
        <v>909</v>
      </c>
      <c r="B16" s="8">
        <v>3.0</v>
      </c>
      <c r="C16" s="8">
        <v>0.0</v>
      </c>
      <c r="D16" s="8">
        <v>1.0</v>
      </c>
      <c r="E16" s="8">
        <v>0.0</v>
      </c>
      <c r="F16" s="8">
        <v>1.0</v>
      </c>
      <c r="G16" s="8">
        <v>0.0</v>
      </c>
      <c r="H16" s="8">
        <v>0.0</v>
      </c>
      <c r="I16" s="8">
        <v>4.0</v>
      </c>
      <c r="J16" s="8">
        <v>9.0</v>
      </c>
      <c r="K16" s="17">
        <f t="shared" si="1"/>
        <v>9</v>
      </c>
      <c r="L16" s="17">
        <f t="shared" si="2"/>
        <v>0</v>
      </c>
    </row>
    <row r="17">
      <c r="A17" s="8" t="s">
        <v>912</v>
      </c>
      <c r="B17" s="8">
        <v>4.0</v>
      </c>
      <c r="C17" s="8">
        <v>4.0</v>
      </c>
      <c r="D17" s="8">
        <v>2.0</v>
      </c>
      <c r="E17" s="8">
        <v>0.0</v>
      </c>
      <c r="F17" s="8">
        <v>7.0</v>
      </c>
      <c r="G17" s="8">
        <v>5.0</v>
      </c>
      <c r="H17" s="8">
        <v>2.0</v>
      </c>
      <c r="I17" s="8">
        <v>8.0</v>
      </c>
      <c r="J17" s="8">
        <v>32.0</v>
      </c>
      <c r="K17" s="17">
        <f t="shared" si="1"/>
        <v>32</v>
      </c>
      <c r="L17" s="17">
        <f t="shared" si="2"/>
        <v>0</v>
      </c>
    </row>
    <row r="18">
      <c r="A18" s="8" t="s">
        <v>918</v>
      </c>
      <c r="B18" s="8">
        <v>86.0</v>
      </c>
      <c r="C18" s="8">
        <v>52.0</v>
      </c>
      <c r="D18" s="8">
        <v>91.0</v>
      </c>
      <c r="E18" s="8">
        <v>0.0</v>
      </c>
      <c r="F18" s="8">
        <v>47.0</v>
      </c>
      <c r="G18" s="8">
        <v>31.0</v>
      </c>
      <c r="H18" s="8">
        <v>14.0</v>
      </c>
      <c r="I18" s="8">
        <v>26.0</v>
      </c>
      <c r="J18" s="8">
        <v>347.0</v>
      </c>
      <c r="K18" s="17">
        <f t="shared" si="1"/>
        <v>347</v>
      </c>
      <c r="L18" s="17">
        <f t="shared" si="2"/>
        <v>0</v>
      </c>
    </row>
    <row r="19">
      <c r="A19" s="17" t="s">
        <v>921</v>
      </c>
      <c r="B19" s="17">
        <f t="shared" ref="B19:J19" si="3">B7+B12+B14+B15+B16+B17</f>
        <v>86</v>
      </c>
      <c r="C19" s="17">
        <f t="shared" si="3"/>
        <v>52</v>
      </c>
      <c r="D19" s="17">
        <f t="shared" si="3"/>
        <v>91</v>
      </c>
      <c r="E19" s="17">
        <f t="shared" si="3"/>
        <v>0</v>
      </c>
      <c r="F19" s="17">
        <f t="shared" si="3"/>
        <v>47</v>
      </c>
      <c r="G19" s="17">
        <f t="shared" si="3"/>
        <v>31</v>
      </c>
      <c r="H19" s="17">
        <f t="shared" si="3"/>
        <v>14</v>
      </c>
      <c r="I19" s="17">
        <f t="shared" si="3"/>
        <v>26</v>
      </c>
      <c r="J19" s="17">
        <f t="shared" si="3"/>
        <v>347</v>
      </c>
      <c r="K19" s="8"/>
      <c r="L19" s="8"/>
    </row>
    <row r="20">
      <c r="A20" s="17" t="s">
        <v>931</v>
      </c>
      <c r="B20" s="17">
        <f t="shared" ref="B20:J20" si="4">IF(ISNUMBER(B18),B19-B18,"")</f>
        <v>0</v>
      </c>
      <c r="C20" s="17">
        <f t="shared" si="4"/>
        <v>0</v>
      </c>
      <c r="D20" s="17">
        <f t="shared" si="4"/>
        <v>0</v>
      </c>
      <c r="E20" s="17">
        <f t="shared" si="4"/>
        <v>0</v>
      </c>
      <c r="F20" s="17">
        <f t="shared" si="4"/>
        <v>0</v>
      </c>
      <c r="G20" s="17">
        <f t="shared" si="4"/>
        <v>0</v>
      </c>
      <c r="H20" s="17">
        <f t="shared" si="4"/>
        <v>0</v>
      </c>
      <c r="I20" s="17">
        <f t="shared" si="4"/>
        <v>0</v>
      </c>
      <c r="J20" s="17">
        <f t="shared" si="4"/>
        <v>0</v>
      </c>
      <c r="K20" s="8"/>
      <c r="L20" s="8"/>
    </row>
    <row r="21" ht="15.75" customHeight="1"/>
    <row r="22" ht="15.75" customHeight="1"/>
    <row r="23" ht="15.75" customHeight="1">
      <c r="A23" s="25" t="s">
        <v>938</v>
      </c>
      <c r="B23" s="26"/>
      <c r="C23" s="26"/>
      <c r="D23" s="26"/>
      <c r="E23" s="26"/>
      <c r="F23" s="26"/>
      <c r="G23" s="26"/>
      <c r="H23" s="26"/>
      <c r="I23" s="26"/>
      <c r="J23" s="26"/>
      <c r="K23" s="26"/>
      <c r="L23" s="26"/>
    </row>
    <row r="24" ht="15.75" customHeight="1">
      <c r="A24" s="27" t="s">
        <v>853</v>
      </c>
      <c r="B24" s="26"/>
      <c r="C24" s="26"/>
      <c r="D24" s="26"/>
      <c r="E24" s="26"/>
      <c r="F24" s="26"/>
      <c r="G24" s="26"/>
      <c r="H24" s="26"/>
      <c r="I24" s="26"/>
      <c r="J24" s="26"/>
      <c r="K24" s="26"/>
      <c r="L24" s="26"/>
    </row>
    <row r="25" ht="15.75" customHeight="1">
      <c r="A25" s="2" t="s">
        <v>858</v>
      </c>
      <c r="B25" s="2" t="s">
        <v>526</v>
      </c>
      <c r="C25" s="2" t="s">
        <v>622</v>
      </c>
      <c r="D25" s="2" t="s">
        <v>644</v>
      </c>
      <c r="E25" s="2" t="s">
        <v>861</v>
      </c>
      <c r="F25" s="2" t="s">
        <v>862</v>
      </c>
      <c r="G25" s="2" t="s">
        <v>863</v>
      </c>
      <c r="H25" s="2" t="s">
        <v>864</v>
      </c>
      <c r="I25" s="2" t="s">
        <v>34</v>
      </c>
      <c r="J25" s="2" t="s">
        <v>865</v>
      </c>
      <c r="K25" s="2" t="s">
        <v>867</v>
      </c>
    </row>
    <row r="26" ht="15.75" customHeight="1">
      <c r="A26" s="8" t="s">
        <v>477</v>
      </c>
      <c r="B26" s="8">
        <v>14.0</v>
      </c>
      <c r="C26" s="8">
        <v>7.0</v>
      </c>
      <c r="D26" s="8">
        <v>11.0</v>
      </c>
      <c r="E26" s="8">
        <v>7.0</v>
      </c>
      <c r="F26" s="8">
        <v>8.0</v>
      </c>
      <c r="G26" s="8">
        <v>5.0</v>
      </c>
      <c r="H26" s="8">
        <v>6.0</v>
      </c>
      <c r="I26" s="8">
        <v>58.0</v>
      </c>
      <c r="J26" s="17">
        <f t="shared" ref="J26:J38" si="5">SUM(B26:H26)</f>
        <v>58</v>
      </c>
      <c r="K26" s="17">
        <f t="shared" ref="K26:K38" si="6">IF(ISNUMBER(I26),J26-I26,"")</f>
        <v>0</v>
      </c>
    </row>
    <row r="27" ht="15.75" customHeight="1">
      <c r="A27" s="8" t="s">
        <v>948</v>
      </c>
      <c r="B27" s="8">
        <v>1.0</v>
      </c>
      <c r="C27" s="8">
        <v>0.0</v>
      </c>
      <c r="D27" s="8">
        <v>0.0</v>
      </c>
      <c r="E27" s="8">
        <v>0.0</v>
      </c>
      <c r="F27" s="8">
        <v>0.0</v>
      </c>
      <c r="G27" s="8">
        <v>0.0</v>
      </c>
      <c r="H27" s="8">
        <v>1.0</v>
      </c>
      <c r="I27" s="8">
        <v>2.0</v>
      </c>
      <c r="J27" s="17">
        <f t="shared" si="5"/>
        <v>2</v>
      </c>
      <c r="K27" s="17">
        <f t="shared" si="6"/>
        <v>0</v>
      </c>
    </row>
    <row r="28" ht="15.75" customHeight="1">
      <c r="A28" s="8" t="s">
        <v>950</v>
      </c>
      <c r="B28" s="8">
        <v>8.0</v>
      </c>
      <c r="C28" s="8">
        <v>5.0</v>
      </c>
      <c r="D28" s="8">
        <v>3.0</v>
      </c>
      <c r="E28" s="8">
        <v>5.0</v>
      </c>
      <c r="F28" s="8">
        <v>5.0</v>
      </c>
      <c r="G28" s="8">
        <v>1.0</v>
      </c>
      <c r="H28" s="8">
        <v>3.0</v>
      </c>
      <c r="I28" s="8">
        <v>30.0</v>
      </c>
      <c r="J28" s="17">
        <f t="shared" si="5"/>
        <v>30</v>
      </c>
      <c r="K28" s="17">
        <f t="shared" si="6"/>
        <v>0</v>
      </c>
    </row>
    <row r="29" ht="15.75" customHeight="1">
      <c r="A29" s="8" t="s">
        <v>952</v>
      </c>
      <c r="B29" s="8">
        <v>5.0</v>
      </c>
      <c r="C29" s="8">
        <v>2.0</v>
      </c>
      <c r="D29" s="8">
        <v>7.0</v>
      </c>
      <c r="E29" s="8">
        <v>2.0</v>
      </c>
      <c r="F29" s="8">
        <v>3.0</v>
      </c>
      <c r="G29" s="8">
        <v>4.0</v>
      </c>
      <c r="H29" s="8">
        <v>1.0</v>
      </c>
      <c r="I29" s="8">
        <v>24.0</v>
      </c>
      <c r="J29" s="17">
        <f t="shared" si="5"/>
        <v>24</v>
      </c>
      <c r="K29" s="17">
        <f t="shared" si="6"/>
        <v>0</v>
      </c>
    </row>
    <row r="30" ht="15.75" customHeight="1">
      <c r="A30" s="8" t="s">
        <v>893</v>
      </c>
      <c r="B30" s="8">
        <v>28.0</v>
      </c>
      <c r="C30" s="8">
        <v>13.0</v>
      </c>
      <c r="D30" s="8">
        <v>23.0</v>
      </c>
      <c r="E30" s="8">
        <v>7.0</v>
      </c>
      <c r="F30" s="8">
        <v>7.0</v>
      </c>
      <c r="G30" s="8">
        <v>3.0</v>
      </c>
      <c r="H30" s="8">
        <v>1.0</v>
      </c>
      <c r="I30" s="8">
        <v>82.0</v>
      </c>
      <c r="J30" s="17">
        <f t="shared" si="5"/>
        <v>82</v>
      </c>
      <c r="K30" s="17">
        <f t="shared" si="6"/>
        <v>0</v>
      </c>
    </row>
    <row r="31" ht="15.75" customHeight="1">
      <c r="A31" s="8" t="s">
        <v>956</v>
      </c>
      <c r="B31" s="8">
        <v>13.0</v>
      </c>
      <c r="C31" s="8">
        <v>11.0</v>
      </c>
      <c r="D31" s="8">
        <v>19.0</v>
      </c>
      <c r="E31" s="8">
        <v>5.0</v>
      </c>
      <c r="F31" s="8">
        <v>6.0</v>
      </c>
      <c r="G31" s="8">
        <v>2.0</v>
      </c>
      <c r="H31" s="8">
        <v>1.0</v>
      </c>
      <c r="I31" s="8">
        <v>57.0</v>
      </c>
      <c r="J31" s="17">
        <f t="shared" si="5"/>
        <v>57</v>
      </c>
      <c r="K31" s="17">
        <f t="shared" si="6"/>
        <v>0</v>
      </c>
    </row>
    <row r="32" ht="15.75" customHeight="1">
      <c r="A32" s="8" t="s">
        <v>959</v>
      </c>
      <c r="B32" s="8">
        <v>15.0</v>
      </c>
      <c r="C32" s="8">
        <v>2.0</v>
      </c>
      <c r="D32" s="8">
        <v>3.0</v>
      </c>
      <c r="E32" s="8">
        <v>0.0</v>
      </c>
      <c r="F32" s="8">
        <v>0.0</v>
      </c>
      <c r="G32" s="8">
        <v>1.0</v>
      </c>
      <c r="H32" s="8">
        <v>0.0</v>
      </c>
      <c r="I32" s="8">
        <v>21.0</v>
      </c>
      <c r="J32" s="17">
        <f t="shared" si="5"/>
        <v>21</v>
      </c>
      <c r="K32" s="17">
        <f t="shared" si="6"/>
        <v>0</v>
      </c>
    </row>
    <row r="33" ht="15.75" customHeight="1">
      <c r="A33" s="8" t="s">
        <v>900</v>
      </c>
      <c r="B33" s="8">
        <v>33.0</v>
      </c>
      <c r="C33" s="8">
        <v>19.0</v>
      </c>
      <c r="D33" s="8">
        <v>28.0</v>
      </c>
      <c r="E33" s="8">
        <v>20.0</v>
      </c>
      <c r="F33" s="8">
        <v>11.0</v>
      </c>
      <c r="G33" s="8">
        <v>2.0</v>
      </c>
      <c r="H33" s="8">
        <v>2.0</v>
      </c>
      <c r="I33" s="8">
        <v>115.0</v>
      </c>
      <c r="J33" s="17">
        <f t="shared" si="5"/>
        <v>115</v>
      </c>
      <c r="K33" s="17">
        <f t="shared" si="6"/>
        <v>0</v>
      </c>
    </row>
    <row r="34" ht="15.75" customHeight="1">
      <c r="A34" s="8" t="s">
        <v>905</v>
      </c>
      <c r="B34" s="8">
        <v>4.0</v>
      </c>
      <c r="C34" s="8">
        <v>9.0</v>
      </c>
      <c r="D34" s="8">
        <v>26.0</v>
      </c>
      <c r="E34" s="8">
        <v>5.0</v>
      </c>
      <c r="F34" s="8">
        <v>0.0</v>
      </c>
      <c r="G34" s="8">
        <v>2.0</v>
      </c>
      <c r="H34" s="8">
        <v>5.0</v>
      </c>
      <c r="I34" s="8">
        <v>51.0</v>
      </c>
      <c r="J34" s="17">
        <f t="shared" si="5"/>
        <v>51</v>
      </c>
      <c r="K34" s="17">
        <f t="shared" si="6"/>
        <v>0</v>
      </c>
    </row>
    <row r="35" ht="15.75" customHeight="1">
      <c r="A35" s="8" t="s">
        <v>970</v>
      </c>
      <c r="B35" s="8">
        <v>3.0</v>
      </c>
      <c r="C35" s="8">
        <v>0.0</v>
      </c>
      <c r="D35" s="8">
        <v>1.0</v>
      </c>
      <c r="E35" s="8">
        <v>1.0</v>
      </c>
      <c r="F35" s="8">
        <v>0.0</v>
      </c>
      <c r="G35" s="8">
        <v>0.0</v>
      </c>
      <c r="H35" s="8">
        <v>4.0</v>
      </c>
      <c r="I35" s="8">
        <v>9.0</v>
      </c>
      <c r="J35" s="17">
        <f t="shared" si="5"/>
        <v>9</v>
      </c>
      <c r="K35" s="17">
        <f t="shared" si="6"/>
        <v>0</v>
      </c>
    </row>
    <row r="36" ht="15.75" customHeight="1">
      <c r="A36" s="8" t="s">
        <v>974</v>
      </c>
      <c r="B36" s="8">
        <v>3.0</v>
      </c>
      <c r="C36" s="8">
        <v>3.0</v>
      </c>
      <c r="D36" s="8">
        <v>2.0</v>
      </c>
      <c r="E36" s="8">
        <v>7.0</v>
      </c>
      <c r="F36" s="8">
        <v>5.0</v>
      </c>
      <c r="G36" s="8">
        <v>2.0</v>
      </c>
      <c r="H36" s="8">
        <v>4.0</v>
      </c>
      <c r="I36" s="8">
        <v>26.0</v>
      </c>
      <c r="J36" s="17">
        <f t="shared" si="5"/>
        <v>26</v>
      </c>
      <c r="K36" s="17">
        <f t="shared" si="6"/>
        <v>0</v>
      </c>
    </row>
    <row r="37" ht="15.75" customHeight="1">
      <c r="A37" s="8" t="s">
        <v>977</v>
      </c>
      <c r="B37" s="8">
        <v>1.0</v>
      </c>
      <c r="C37" s="8">
        <v>1.0</v>
      </c>
      <c r="D37" s="8">
        <v>0.0</v>
      </c>
      <c r="E37" s="8">
        <v>0.0</v>
      </c>
      <c r="F37" s="8">
        <v>0.0</v>
      </c>
      <c r="G37" s="8">
        <v>0.0</v>
      </c>
      <c r="H37" s="8">
        <v>4.0</v>
      </c>
      <c r="I37" s="8">
        <v>6.0</v>
      </c>
      <c r="J37" s="17">
        <f t="shared" si="5"/>
        <v>6</v>
      </c>
      <c r="K37" s="17">
        <f t="shared" si="6"/>
        <v>0</v>
      </c>
    </row>
    <row r="38" ht="15.75" customHeight="1">
      <c r="A38" s="8" t="s">
        <v>986</v>
      </c>
      <c r="B38" s="8">
        <v>86.0</v>
      </c>
      <c r="C38" s="8">
        <v>52.0</v>
      </c>
      <c r="D38" s="8">
        <v>91.0</v>
      </c>
      <c r="E38" s="8">
        <v>47.0</v>
      </c>
      <c r="F38" s="8">
        <v>31.0</v>
      </c>
      <c r="G38" s="8">
        <v>14.0</v>
      </c>
      <c r="H38" s="8">
        <v>26.0</v>
      </c>
      <c r="I38" s="8">
        <v>347.0</v>
      </c>
      <c r="J38" s="17">
        <f t="shared" si="5"/>
        <v>347</v>
      </c>
      <c r="K38" s="17">
        <f t="shared" si="6"/>
        <v>0</v>
      </c>
    </row>
    <row r="39" ht="15.75" customHeight="1">
      <c r="A39" s="17" t="s">
        <v>921</v>
      </c>
      <c r="B39" s="17">
        <f t="shared" ref="B39:I39" si="7">B26+B30+B33+B34+B35+B36+B37</f>
        <v>86</v>
      </c>
      <c r="C39" s="17">
        <f t="shared" si="7"/>
        <v>52</v>
      </c>
      <c r="D39" s="17">
        <f t="shared" si="7"/>
        <v>91</v>
      </c>
      <c r="E39" s="17">
        <f t="shared" si="7"/>
        <v>47</v>
      </c>
      <c r="F39" s="17">
        <f t="shared" si="7"/>
        <v>31</v>
      </c>
      <c r="G39" s="17">
        <f t="shared" si="7"/>
        <v>14</v>
      </c>
      <c r="H39" s="17">
        <f t="shared" si="7"/>
        <v>26</v>
      </c>
      <c r="I39" s="17">
        <f t="shared" si="7"/>
        <v>347</v>
      </c>
      <c r="J39" s="8"/>
      <c r="K39" s="8"/>
    </row>
    <row r="40" ht="15.75" customHeight="1">
      <c r="A40" s="17" t="s">
        <v>931</v>
      </c>
      <c r="B40" s="17">
        <f t="shared" ref="B40:I40" si="8">IF(ISNUMBER(B38),B39-B38,"")</f>
        <v>0</v>
      </c>
      <c r="C40" s="17">
        <f t="shared" si="8"/>
        <v>0</v>
      </c>
      <c r="D40" s="17">
        <f t="shared" si="8"/>
        <v>0</v>
      </c>
      <c r="E40" s="17">
        <f t="shared" si="8"/>
        <v>0</v>
      </c>
      <c r="F40" s="17">
        <f t="shared" si="8"/>
        <v>0</v>
      </c>
      <c r="G40" s="17">
        <f t="shared" si="8"/>
        <v>0</v>
      </c>
      <c r="H40" s="17">
        <f t="shared" si="8"/>
        <v>0</v>
      </c>
      <c r="I40" s="17">
        <f t="shared" si="8"/>
        <v>0</v>
      </c>
      <c r="J40" s="8"/>
      <c r="K40" s="8"/>
    </row>
    <row r="41" ht="15.75" customHeight="1">
      <c r="A41" s="8" t="s">
        <v>496</v>
      </c>
      <c r="B41" s="8"/>
      <c r="C41" s="8"/>
      <c r="D41" s="8"/>
      <c r="E41" s="8"/>
      <c r="F41" s="8"/>
      <c r="G41" s="8"/>
      <c r="H41" s="8"/>
      <c r="I41" s="8"/>
      <c r="J41" s="8"/>
      <c r="K41" s="8"/>
    </row>
    <row r="42" ht="15.75" customHeight="1"/>
    <row r="43" ht="15.75" customHeight="1"/>
    <row r="44" ht="15.75" customHeight="1">
      <c r="A44" s="25" t="s">
        <v>1007</v>
      </c>
      <c r="B44" s="26"/>
      <c r="C44" s="26"/>
      <c r="D44" s="26"/>
      <c r="E44" s="26"/>
      <c r="F44" s="26"/>
      <c r="G44" s="26"/>
      <c r="H44" s="26"/>
      <c r="I44" s="26"/>
      <c r="J44" s="26"/>
      <c r="K44" s="26"/>
      <c r="L44" s="26"/>
    </row>
    <row r="45" ht="15.75" customHeight="1">
      <c r="A45" s="27" t="s">
        <v>853</v>
      </c>
      <c r="B45" s="26"/>
      <c r="C45" s="26"/>
      <c r="D45" s="26"/>
      <c r="E45" s="26"/>
      <c r="F45" s="26"/>
      <c r="G45" s="26"/>
      <c r="H45" s="26"/>
      <c r="I45" s="26"/>
      <c r="J45" s="26"/>
      <c r="K45" s="26"/>
      <c r="L45" s="26"/>
    </row>
    <row r="46" ht="15.75" customHeight="1">
      <c r="A46" s="2" t="s">
        <v>858</v>
      </c>
      <c r="B46" s="2" t="s">
        <v>1015</v>
      </c>
      <c r="C46" s="2" t="s">
        <v>526</v>
      </c>
      <c r="D46" s="2" t="s">
        <v>1016</v>
      </c>
      <c r="E46" s="2" t="s">
        <v>861</v>
      </c>
      <c r="F46" s="2" t="s">
        <v>862</v>
      </c>
      <c r="G46" s="2" t="s">
        <v>863</v>
      </c>
      <c r="H46" s="2" t="s">
        <v>864</v>
      </c>
      <c r="I46" s="2" t="s">
        <v>34</v>
      </c>
      <c r="J46" s="2" t="s">
        <v>865</v>
      </c>
      <c r="K46" s="2" t="s">
        <v>867</v>
      </c>
    </row>
    <row r="47" ht="15.75" customHeight="1">
      <c r="A47" s="8" t="s">
        <v>477</v>
      </c>
      <c r="B47" s="8">
        <v>7.0</v>
      </c>
      <c r="C47" s="8">
        <v>14.0</v>
      </c>
      <c r="D47" s="8">
        <v>11.0</v>
      </c>
      <c r="E47" s="8">
        <v>7.0</v>
      </c>
      <c r="F47" s="8">
        <v>8.0</v>
      </c>
      <c r="G47" s="8">
        <v>5.0</v>
      </c>
      <c r="H47" s="8">
        <v>6.0</v>
      </c>
      <c r="I47" s="8">
        <v>58.0</v>
      </c>
      <c r="J47" s="17">
        <f t="shared" ref="J47:J59" si="9">SUM(B47:H47)</f>
        <v>58</v>
      </c>
      <c r="K47" s="17">
        <f t="shared" ref="K47:K59" si="10">IF(ISNUMBER(I47),J47-I47,"")</f>
        <v>0</v>
      </c>
    </row>
    <row r="48" ht="15.75" customHeight="1">
      <c r="A48" s="8" t="s">
        <v>948</v>
      </c>
      <c r="B48" s="8">
        <v>0.0</v>
      </c>
      <c r="C48" s="8">
        <v>1.0</v>
      </c>
      <c r="D48" s="8">
        <v>0.0</v>
      </c>
      <c r="E48" s="8">
        <v>0.0</v>
      </c>
      <c r="F48" s="8">
        <v>0.0</v>
      </c>
      <c r="G48" s="8">
        <v>0.0</v>
      </c>
      <c r="H48" s="8">
        <v>1.0</v>
      </c>
      <c r="I48" s="8">
        <v>2.0</v>
      </c>
      <c r="J48" s="17">
        <f t="shared" si="9"/>
        <v>2</v>
      </c>
      <c r="K48" s="17">
        <f t="shared" si="10"/>
        <v>0</v>
      </c>
    </row>
    <row r="49" ht="15.75" customHeight="1">
      <c r="A49" s="8" t="s">
        <v>1023</v>
      </c>
      <c r="B49" s="8">
        <v>0.0</v>
      </c>
      <c r="C49" s="8">
        <v>0.0</v>
      </c>
      <c r="D49" s="8">
        <v>1.0</v>
      </c>
      <c r="E49" s="8">
        <v>0.0</v>
      </c>
      <c r="F49" s="8">
        <v>0.0</v>
      </c>
      <c r="G49" s="8">
        <v>0.0</v>
      </c>
      <c r="H49" s="8">
        <v>1.0</v>
      </c>
      <c r="I49" s="8">
        <v>2.0</v>
      </c>
      <c r="J49" s="17">
        <f t="shared" si="9"/>
        <v>2</v>
      </c>
      <c r="K49" s="17">
        <f t="shared" si="10"/>
        <v>0</v>
      </c>
    </row>
    <row r="50" ht="15.75" customHeight="1">
      <c r="A50" s="8" t="s">
        <v>950</v>
      </c>
      <c r="B50" s="8">
        <v>5.0</v>
      </c>
      <c r="C50" s="8">
        <v>8.0</v>
      </c>
      <c r="D50" s="8">
        <v>3.0</v>
      </c>
      <c r="E50" s="8">
        <v>5.0</v>
      </c>
      <c r="F50" s="8">
        <v>5.0</v>
      </c>
      <c r="G50" s="8">
        <v>1.0</v>
      </c>
      <c r="H50" s="8">
        <v>3.0</v>
      </c>
      <c r="I50" s="8">
        <v>30.0</v>
      </c>
      <c r="J50" s="17">
        <f t="shared" si="9"/>
        <v>30</v>
      </c>
      <c r="K50" s="17">
        <f t="shared" si="10"/>
        <v>0</v>
      </c>
    </row>
    <row r="51" ht="15.75" customHeight="1">
      <c r="A51" s="8" t="s">
        <v>952</v>
      </c>
      <c r="B51" s="8">
        <v>2.0</v>
      </c>
      <c r="C51" s="8">
        <v>5.0</v>
      </c>
      <c r="D51" s="8">
        <v>7.0</v>
      </c>
      <c r="E51" s="8">
        <v>2.0</v>
      </c>
      <c r="F51" s="8">
        <v>3.0</v>
      </c>
      <c r="G51" s="8">
        <v>4.0</v>
      </c>
      <c r="H51" s="8">
        <v>1.0</v>
      </c>
      <c r="I51" s="8">
        <v>24.0</v>
      </c>
      <c r="J51" s="17">
        <f t="shared" si="9"/>
        <v>24</v>
      </c>
      <c r="K51" s="17">
        <f t="shared" si="10"/>
        <v>0</v>
      </c>
    </row>
    <row r="52" ht="15.75" customHeight="1">
      <c r="A52" s="8" t="s">
        <v>893</v>
      </c>
      <c r="B52" s="8">
        <v>13.0</v>
      </c>
      <c r="C52" s="8">
        <v>28.0</v>
      </c>
      <c r="D52" s="8">
        <v>23.0</v>
      </c>
      <c r="E52" s="8">
        <v>7.0</v>
      </c>
      <c r="F52" s="8">
        <v>7.0</v>
      </c>
      <c r="G52" s="8">
        <v>3.0</v>
      </c>
      <c r="H52" s="8">
        <v>1.0</v>
      </c>
      <c r="I52" s="8">
        <v>82.0</v>
      </c>
      <c r="J52" s="17">
        <f t="shared" si="9"/>
        <v>82</v>
      </c>
      <c r="K52" s="17">
        <f t="shared" si="10"/>
        <v>0</v>
      </c>
    </row>
    <row r="53" ht="15.75" customHeight="1">
      <c r="A53" s="8" t="s">
        <v>956</v>
      </c>
      <c r="B53" s="8">
        <v>11.0</v>
      </c>
      <c r="C53" s="8">
        <v>13.0</v>
      </c>
      <c r="D53" s="8">
        <v>19.0</v>
      </c>
      <c r="E53" s="8">
        <v>5.0</v>
      </c>
      <c r="F53" s="8">
        <v>6.0</v>
      </c>
      <c r="G53" s="8">
        <v>2.0</v>
      </c>
      <c r="H53" s="8">
        <v>1.0</v>
      </c>
      <c r="I53" s="8">
        <v>57.0</v>
      </c>
      <c r="J53" s="17">
        <f t="shared" si="9"/>
        <v>57</v>
      </c>
      <c r="K53" s="17">
        <f t="shared" si="10"/>
        <v>0</v>
      </c>
    </row>
    <row r="54" ht="15.75" customHeight="1">
      <c r="A54" s="8" t="s">
        <v>959</v>
      </c>
      <c r="B54" s="8">
        <v>2.0</v>
      </c>
      <c r="C54" s="8">
        <v>15.0</v>
      </c>
      <c r="D54" s="8">
        <v>3.0</v>
      </c>
      <c r="E54" s="8">
        <v>0.0</v>
      </c>
      <c r="F54" s="8">
        <v>0.0</v>
      </c>
      <c r="G54" s="8">
        <v>1.0</v>
      </c>
      <c r="H54" s="8">
        <v>0.0</v>
      </c>
      <c r="I54" s="8">
        <v>21.0</v>
      </c>
      <c r="J54" s="17">
        <f t="shared" si="9"/>
        <v>21</v>
      </c>
      <c r="K54" s="17">
        <f t="shared" si="10"/>
        <v>0</v>
      </c>
    </row>
    <row r="55" ht="15.75" customHeight="1">
      <c r="A55" s="8" t="s">
        <v>900</v>
      </c>
      <c r="B55" s="8">
        <v>19.0</v>
      </c>
      <c r="C55" s="8">
        <v>33.0</v>
      </c>
      <c r="D55" s="8">
        <v>28.0</v>
      </c>
      <c r="E55" s="8">
        <v>20.0</v>
      </c>
      <c r="F55" s="8">
        <v>11.0</v>
      </c>
      <c r="G55" s="8">
        <v>2.0</v>
      </c>
      <c r="H55" s="8">
        <v>2.0</v>
      </c>
      <c r="I55" s="8">
        <v>115.0</v>
      </c>
      <c r="J55" s="17">
        <f t="shared" si="9"/>
        <v>115</v>
      </c>
      <c r="K55" s="17">
        <f t="shared" si="10"/>
        <v>0</v>
      </c>
    </row>
    <row r="56" ht="15.75" customHeight="1">
      <c r="A56" s="8" t="s">
        <v>905</v>
      </c>
      <c r="B56" s="8">
        <v>9.0</v>
      </c>
      <c r="C56" s="8">
        <v>4.0</v>
      </c>
      <c r="D56" s="8">
        <v>26.0</v>
      </c>
      <c r="E56" s="8">
        <v>5.0</v>
      </c>
      <c r="F56" s="8">
        <v>0.0</v>
      </c>
      <c r="G56" s="8">
        <v>2.0</v>
      </c>
      <c r="H56" s="8">
        <v>5.0</v>
      </c>
      <c r="I56" s="8">
        <v>51.0</v>
      </c>
      <c r="J56" s="17">
        <f t="shared" si="9"/>
        <v>51</v>
      </c>
      <c r="K56" s="17">
        <f t="shared" si="10"/>
        <v>0</v>
      </c>
    </row>
    <row r="57" ht="15.75" customHeight="1">
      <c r="A57" s="8" t="s">
        <v>909</v>
      </c>
      <c r="B57" s="8">
        <v>0.0</v>
      </c>
      <c r="C57" s="8">
        <v>3.0</v>
      </c>
      <c r="D57" s="8">
        <v>1.0</v>
      </c>
      <c r="E57" s="8">
        <v>1.0</v>
      </c>
      <c r="F57" s="8">
        <v>0.0</v>
      </c>
      <c r="G57" s="8">
        <v>0.0</v>
      </c>
      <c r="H57" s="8">
        <v>4.0</v>
      </c>
      <c r="I57" s="8">
        <v>9.0</v>
      </c>
      <c r="J57" s="17">
        <f t="shared" si="9"/>
        <v>9</v>
      </c>
      <c r="K57" s="17">
        <f t="shared" si="10"/>
        <v>0</v>
      </c>
    </row>
    <row r="58" ht="15.75" customHeight="1">
      <c r="A58" s="8" t="s">
        <v>912</v>
      </c>
      <c r="B58" s="8">
        <v>4.0</v>
      </c>
      <c r="C58" s="8">
        <v>4.0</v>
      </c>
      <c r="D58" s="8">
        <v>2.0</v>
      </c>
      <c r="E58" s="8">
        <v>7.0</v>
      </c>
      <c r="F58" s="8">
        <v>5.0</v>
      </c>
      <c r="G58" s="8">
        <v>2.0</v>
      </c>
      <c r="H58" s="8">
        <v>8.0</v>
      </c>
      <c r="I58" s="8">
        <v>32.0</v>
      </c>
      <c r="J58" s="17">
        <f t="shared" si="9"/>
        <v>32</v>
      </c>
      <c r="K58" s="17">
        <f t="shared" si="10"/>
        <v>0</v>
      </c>
    </row>
    <row r="59" ht="15.75" customHeight="1">
      <c r="A59" s="8" t="s">
        <v>986</v>
      </c>
      <c r="B59" s="8">
        <v>52.0</v>
      </c>
      <c r="C59" s="8">
        <v>86.0</v>
      </c>
      <c r="D59" s="8">
        <v>91.0</v>
      </c>
      <c r="E59" s="8">
        <v>47.0</v>
      </c>
      <c r="F59" s="8">
        <v>31.0</v>
      </c>
      <c r="G59" s="8">
        <v>14.0</v>
      </c>
      <c r="H59" s="8">
        <v>26.0</v>
      </c>
      <c r="I59" s="8">
        <v>347.0</v>
      </c>
      <c r="J59" s="17">
        <f t="shared" si="9"/>
        <v>347</v>
      </c>
      <c r="K59" s="17">
        <f t="shared" si="10"/>
        <v>0</v>
      </c>
    </row>
    <row r="60" ht="15.75" customHeight="1">
      <c r="A60" s="17" t="s">
        <v>921</v>
      </c>
      <c r="B60" s="17">
        <f t="shared" ref="B60:I60" si="11">B47+B52+B55+B56+B57+B58</f>
        <v>52</v>
      </c>
      <c r="C60" s="17">
        <f t="shared" si="11"/>
        <v>86</v>
      </c>
      <c r="D60" s="17">
        <f t="shared" si="11"/>
        <v>91</v>
      </c>
      <c r="E60" s="17">
        <f t="shared" si="11"/>
        <v>47</v>
      </c>
      <c r="F60" s="17">
        <f t="shared" si="11"/>
        <v>31</v>
      </c>
      <c r="G60" s="17">
        <f t="shared" si="11"/>
        <v>14</v>
      </c>
      <c r="H60" s="17">
        <f t="shared" si="11"/>
        <v>26</v>
      </c>
      <c r="I60" s="17">
        <f t="shared" si="11"/>
        <v>347</v>
      </c>
      <c r="J60" s="8"/>
      <c r="K60" s="8"/>
    </row>
    <row r="61" ht="15.75" customHeight="1">
      <c r="A61" s="17" t="s">
        <v>931</v>
      </c>
      <c r="B61" s="17">
        <f t="shared" ref="B61:I61" si="12">IF(ISNUMBER(B59),B60-B59,"")</f>
        <v>0</v>
      </c>
      <c r="C61" s="17">
        <f t="shared" si="12"/>
        <v>0</v>
      </c>
      <c r="D61" s="17">
        <f t="shared" si="12"/>
        <v>0</v>
      </c>
      <c r="E61" s="17">
        <f t="shared" si="12"/>
        <v>0</v>
      </c>
      <c r="F61" s="17">
        <f t="shared" si="12"/>
        <v>0</v>
      </c>
      <c r="G61" s="17">
        <f t="shared" si="12"/>
        <v>0</v>
      </c>
      <c r="H61" s="17">
        <f t="shared" si="12"/>
        <v>0</v>
      </c>
      <c r="I61" s="17">
        <f t="shared" si="12"/>
        <v>0</v>
      </c>
      <c r="J61" s="8"/>
      <c r="K61" s="8"/>
    </row>
    <row r="62" ht="15.75" customHeight="1">
      <c r="A62" s="8" t="s">
        <v>750</v>
      </c>
      <c r="B62" s="8"/>
      <c r="C62" s="8"/>
      <c r="D62" s="8"/>
      <c r="E62" s="8"/>
      <c r="F62" s="8"/>
      <c r="G62" s="8"/>
      <c r="H62" s="8"/>
      <c r="I62" s="8"/>
      <c r="J62" s="8"/>
      <c r="K62" s="8"/>
    </row>
    <row r="63" ht="15.75" customHeight="1"/>
    <row r="64" ht="15.75" customHeight="1"/>
    <row r="65" ht="15.75" customHeight="1">
      <c r="A65" s="25" t="s">
        <v>1048</v>
      </c>
      <c r="B65" s="26"/>
      <c r="C65" s="26"/>
      <c r="D65" s="26"/>
      <c r="E65" s="26"/>
      <c r="F65" s="26"/>
      <c r="G65" s="26"/>
      <c r="H65" s="26"/>
      <c r="I65" s="26"/>
      <c r="J65" s="26"/>
      <c r="K65" s="26"/>
      <c r="L65" s="26"/>
    </row>
    <row r="66" ht="15.75" customHeight="1">
      <c r="A66" s="27" t="s">
        <v>853</v>
      </c>
      <c r="B66" s="26"/>
      <c r="C66" s="26"/>
      <c r="D66" s="26"/>
      <c r="E66" s="26"/>
      <c r="F66" s="26"/>
      <c r="G66" s="26"/>
      <c r="H66" s="26"/>
      <c r="I66" s="26"/>
      <c r="J66" s="26"/>
      <c r="K66" s="26"/>
      <c r="L66" s="26"/>
    </row>
    <row r="67" ht="15.75" customHeight="1">
      <c r="A67" s="2" t="s">
        <v>858</v>
      </c>
      <c r="B67" s="2" t="s">
        <v>644</v>
      </c>
      <c r="C67" s="2" t="s">
        <v>526</v>
      </c>
      <c r="D67" s="2" t="s">
        <v>622</v>
      </c>
      <c r="E67" s="2" t="s">
        <v>861</v>
      </c>
      <c r="F67" s="2" t="s">
        <v>862</v>
      </c>
      <c r="G67" s="2" t="s">
        <v>863</v>
      </c>
      <c r="H67" s="2" t="s">
        <v>864</v>
      </c>
      <c r="I67" s="2" t="s">
        <v>34</v>
      </c>
      <c r="J67" s="2" t="s">
        <v>865</v>
      </c>
      <c r="K67" s="2" t="s">
        <v>867</v>
      </c>
    </row>
    <row r="68" ht="15.75" customHeight="1">
      <c r="A68" s="8" t="s">
        <v>477</v>
      </c>
      <c r="B68" s="8">
        <v>11.0</v>
      </c>
      <c r="C68" s="8">
        <v>14.0</v>
      </c>
      <c r="D68" s="8">
        <v>7.0</v>
      </c>
      <c r="E68" s="8">
        <v>7.0</v>
      </c>
      <c r="F68" s="8">
        <v>8.0</v>
      </c>
      <c r="G68" s="8">
        <v>5.0</v>
      </c>
      <c r="H68" s="8">
        <v>6.0</v>
      </c>
      <c r="I68" s="8">
        <v>58.0</v>
      </c>
      <c r="J68" s="17">
        <f t="shared" ref="J68:J81" si="13">SUM(B68:H68)</f>
        <v>58</v>
      </c>
      <c r="K68" s="17">
        <f t="shared" ref="K68:K81" si="14">IF(ISNUMBER(I68),J68-I68,"")</f>
        <v>0</v>
      </c>
    </row>
    <row r="69" ht="15.75" customHeight="1">
      <c r="A69" s="8" t="s">
        <v>876</v>
      </c>
      <c r="B69" s="8">
        <v>0.0</v>
      </c>
      <c r="C69" s="8">
        <v>1.0</v>
      </c>
      <c r="D69" s="8">
        <v>0.0</v>
      </c>
      <c r="E69" s="8">
        <v>0.0</v>
      </c>
      <c r="F69" s="8">
        <v>0.0</v>
      </c>
      <c r="G69" s="8">
        <v>0.0</v>
      </c>
      <c r="H69" s="8">
        <v>1.0</v>
      </c>
      <c r="I69" s="8">
        <v>2.0</v>
      </c>
      <c r="J69" s="17">
        <f t="shared" si="13"/>
        <v>2</v>
      </c>
      <c r="K69" s="17">
        <f t="shared" si="14"/>
        <v>0</v>
      </c>
    </row>
    <row r="70" ht="15.75" customHeight="1">
      <c r="A70" s="8" t="s">
        <v>881</v>
      </c>
      <c r="B70" s="8">
        <v>1.0</v>
      </c>
      <c r="C70" s="8">
        <v>0.0</v>
      </c>
      <c r="D70" s="8">
        <v>0.0</v>
      </c>
      <c r="E70" s="8">
        <v>0.0</v>
      </c>
      <c r="F70" s="8">
        <v>0.0</v>
      </c>
      <c r="G70" s="8">
        <v>0.0</v>
      </c>
      <c r="H70" s="8">
        <v>1.0</v>
      </c>
      <c r="I70" s="8">
        <v>2.0</v>
      </c>
      <c r="J70" s="17">
        <f t="shared" si="13"/>
        <v>2</v>
      </c>
      <c r="K70" s="17">
        <f t="shared" si="14"/>
        <v>0</v>
      </c>
    </row>
    <row r="71" ht="15.75" customHeight="1">
      <c r="A71" s="8" t="s">
        <v>886</v>
      </c>
      <c r="B71" s="8">
        <v>3.0</v>
      </c>
      <c r="C71" s="8">
        <v>8.0</v>
      </c>
      <c r="D71" s="8">
        <v>5.0</v>
      </c>
      <c r="E71" s="8">
        <v>5.0</v>
      </c>
      <c r="F71" s="8">
        <v>5.0</v>
      </c>
      <c r="G71" s="8">
        <v>1.0</v>
      </c>
      <c r="H71" s="8">
        <v>3.0</v>
      </c>
      <c r="I71" s="8">
        <v>30.0</v>
      </c>
      <c r="J71" s="17">
        <f t="shared" si="13"/>
        <v>30</v>
      </c>
      <c r="K71" s="17">
        <f t="shared" si="14"/>
        <v>0</v>
      </c>
    </row>
    <row r="72" ht="15.75" customHeight="1">
      <c r="A72" s="8" t="s">
        <v>889</v>
      </c>
      <c r="B72" s="8">
        <v>7.0</v>
      </c>
      <c r="C72" s="8">
        <v>5.0</v>
      </c>
      <c r="D72" s="8">
        <v>2.0</v>
      </c>
      <c r="E72" s="8">
        <v>2.0</v>
      </c>
      <c r="F72" s="8">
        <v>3.0</v>
      </c>
      <c r="G72" s="8">
        <v>4.0</v>
      </c>
      <c r="H72" s="8">
        <v>1.0</v>
      </c>
      <c r="I72" s="8">
        <v>24.0</v>
      </c>
      <c r="J72" s="17">
        <f t="shared" si="13"/>
        <v>24</v>
      </c>
      <c r="K72" s="17">
        <f t="shared" si="14"/>
        <v>0</v>
      </c>
    </row>
    <row r="73" ht="15.75" customHeight="1">
      <c r="A73" s="8" t="s">
        <v>893</v>
      </c>
      <c r="B73" s="8">
        <v>23.0</v>
      </c>
      <c r="C73" s="8">
        <v>28.0</v>
      </c>
      <c r="D73" s="8">
        <v>13.0</v>
      </c>
      <c r="E73" s="8">
        <v>7.0</v>
      </c>
      <c r="F73" s="8">
        <v>7.0</v>
      </c>
      <c r="G73" s="8">
        <v>3.0</v>
      </c>
      <c r="H73" s="8">
        <v>1.0</v>
      </c>
      <c r="I73" s="8">
        <v>82.0</v>
      </c>
      <c r="J73" s="17">
        <f t="shared" si="13"/>
        <v>82</v>
      </c>
      <c r="K73" s="17">
        <f t="shared" si="14"/>
        <v>0</v>
      </c>
    </row>
    <row r="74" ht="15.75" customHeight="1">
      <c r="A74" s="8" t="s">
        <v>897</v>
      </c>
      <c r="B74" s="8">
        <v>19.0</v>
      </c>
      <c r="C74" s="8">
        <v>13.0</v>
      </c>
      <c r="D74" s="8">
        <v>11.0</v>
      </c>
      <c r="E74" s="8">
        <v>5.0</v>
      </c>
      <c r="F74" s="8">
        <v>6.0</v>
      </c>
      <c r="G74" s="8">
        <v>2.0</v>
      </c>
      <c r="H74" s="8">
        <v>1.0</v>
      </c>
      <c r="I74" s="8">
        <v>57.0</v>
      </c>
      <c r="J74" s="17">
        <f t="shared" si="13"/>
        <v>57</v>
      </c>
      <c r="K74" s="17">
        <f t="shared" si="14"/>
        <v>0</v>
      </c>
    </row>
    <row r="75" ht="15.75" customHeight="1">
      <c r="A75" s="8" t="s">
        <v>900</v>
      </c>
      <c r="B75" s="8">
        <v>28.0</v>
      </c>
      <c r="C75" s="8">
        <v>33.0</v>
      </c>
      <c r="D75" s="8">
        <v>19.0</v>
      </c>
      <c r="E75" s="8">
        <v>20.0</v>
      </c>
      <c r="F75" s="8">
        <v>11.0</v>
      </c>
      <c r="G75" s="8">
        <v>2.0</v>
      </c>
      <c r="H75" s="8">
        <v>2.0</v>
      </c>
      <c r="I75" s="8">
        <v>115.0</v>
      </c>
      <c r="J75" s="17">
        <f t="shared" si="13"/>
        <v>115</v>
      </c>
      <c r="K75" s="17">
        <f t="shared" si="14"/>
        <v>0</v>
      </c>
    </row>
    <row r="76" ht="15.75" customHeight="1">
      <c r="A76" s="8" t="s">
        <v>905</v>
      </c>
      <c r="B76" s="8">
        <v>26.0</v>
      </c>
      <c r="C76" s="8">
        <v>4.0</v>
      </c>
      <c r="D76" s="8">
        <v>9.0</v>
      </c>
      <c r="E76" s="8">
        <v>5.0</v>
      </c>
      <c r="F76" s="8">
        <v>0.0</v>
      </c>
      <c r="G76" s="8">
        <v>2.0</v>
      </c>
      <c r="H76" s="8">
        <v>5.0</v>
      </c>
      <c r="I76" s="8">
        <v>51.0</v>
      </c>
      <c r="J76" s="17">
        <f t="shared" si="13"/>
        <v>51</v>
      </c>
      <c r="K76" s="17">
        <f t="shared" si="14"/>
        <v>0</v>
      </c>
    </row>
    <row r="77" ht="15.75" customHeight="1">
      <c r="A77" s="8" t="s">
        <v>1053</v>
      </c>
      <c r="B77" s="8">
        <v>22.0</v>
      </c>
      <c r="C77" s="8">
        <v>4.0</v>
      </c>
      <c r="D77" s="8">
        <v>5.0</v>
      </c>
      <c r="E77" s="8">
        <v>2.0</v>
      </c>
      <c r="F77" s="8">
        <v>0.0</v>
      </c>
      <c r="G77" s="8">
        <v>0.0</v>
      </c>
      <c r="H77" s="8">
        <v>3.0</v>
      </c>
      <c r="I77" s="8">
        <v>36.0</v>
      </c>
      <c r="J77" s="17">
        <f t="shared" si="13"/>
        <v>36</v>
      </c>
      <c r="K77" s="17">
        <f t="shared" si="14"/>
        <v>0</v>
      </c>
    </row>
    <row r="78" ht="15.75" customHeight="1">
      <c r="A78" s="8" t="s">
        <v>1054</v>
      </c>
      <c r="B78" s="8">
        <v>1.0</v>
      </c>
      <c r="C78" s="8">
        <v>3.0</v>
      </c>
      <c r="D78" s="8">
        <v>0.0</v>
      </c>
      <c r="E78" s="8">
        <v>1.0</v>
      </c>
      <c r="F78" s="8">
        <v>0.0</v>
      </c>
      <c r="G78" s="8">
        <v>0.0</v>
      </c>
      <c r="H78" s="8">
        <v>4.0</v>
      </c>
      <c r="I78" s="8">
        <v>9.0</v>
      </c>
      <c r="J78" s="17">
        <f t="shared" si="13"/>
        <v>9</v>
      </c>
      <c r="K78" s="17">
        <f t="shared" si="14"/>
        <v>0</v>
      </c>
    </row>
    <row r="79" ht="15.75" customHeight="1">
      <c r="A79" s="8" t="s">
        <v>974</v>
      </c>
      <c r="B79" s="8">
        <v>2.0</v>
      </c>
      <c r="C79" s="8">
        <v>3.0</v>
      </c>
      <c r="D79" s="8">
        <v>3.0</v>
      </c>
      <c r="E79" s="8">
        <v>7.0</v>
      </c>
      <c r="F79" s="8">
        <v>5.0</v>
      </c>
      <c r="G79" s="8">
        <v>2.0</v>
      </c>
      <c r="H79" s="8">
        <v>4.0</v>
      </c>
      <c r="I79" s="8">
        <v>26.0</v>
      </c>
      <c r="J79" s="17">
        <f t="shared" si="13"/>
        <v>26</v>
      </c>
      <c r="K79" s="17">
        <f t="shared" si="14"/>
        <v>0</v>
      </c>
    </row>
    <row r="80" ht="15.75" customHeight="1">
      <c r="A80" s="8" t="s">
        <v>1055</v>
      </c>
      <c r="B80" s="8">
        <v>0.0</v>
      </c>
      <c r="C80" s="8">
        <v>1.0</v>
      </c>
      <c r="D80" s="8">
        <v>1.0</v>
      </c>
      <c r="E80" s="8">
        <v>0.0</v>
      </c>
      <c r="F80" s="8">
        <v>0.0</v>
      </c>
      <c r="G80" s="8">
        <v>0.0</v>
      </c>
      <c r="H80" s="8">
        <v>4.0</v>
      </c>
      <c r="I80" s="8">
        <v>6.0</v>
      </c>
      <c r="J80" s="17">
        <f t="shared" si="13"/>
        <v>6</v>
      </c>
      <c r="K80" s="17">
        <f t="shared" si="14"/>
        <v>0</v>
      </c>
    </row>
    <row r="81" ht="15.75" customHeight="1">
      <c r="A81" s="8" t="s">
        <v>986</v>
      </c>
      <c r="B81" s="8">
        <v>91.0</v>
      </c>
      <c r="C81" s="8">
        <v>86.0</v>
      </c>
      <c r="D81" s="8">
        <v>52.0</v>
      </c>
      <c r="E81" s="8">
        <v>47.0</v>
      </c>
      <c r="F81" s="8">
        <v>31.0</v>
      </c>
      <c r="G81" s="8">
        <v>14.0</v>
      </c>
      <c r="H81" s="8">
        <v>26.0</v>
      </c>
      <c r="I81" s="8">
        <v>347.0</v>
      </c>
      <c r="J81" s="17">
        <f t="shared" si="13"/>
        <v>347</v>
      </c>
      <c r="K81" s="17">
        <f t="shared" si="14"/>
        <v>0</v>
      </c>
    </row>
    <row r="82" ht="15.75" customHeight="1">
      <c r="A82" s="17" t="s">
        <v>921</v>
      </c>
      <c r="B82" s="17">
        <f t="shared" ref="B82:I82" si="15">B68+B73+B75+B76+B78+B79+B80</f>
        <v>91</v>
      </c>
      <c r="C82" s="17">
        <f t="shared" si="15"/>
        <v>86</v>
      </c>
      <c r="D82" s="17">
        <f t="shared" si="15"/>
        <v>52</v>
      </c>
      <c r="E82" s="17">
        <f t="shared" si="15"/>
        <v>47</v>
      </c>
      <c r="F82" s="17">
        <f t="shared" si="15"/>
        <v>31</v>
      </c>
      <c r="G82" s="17">
        <f t="shared" si="15"/>
        <v>14</v>
      </c>
      <c r="H82" s="17">
        <f t="shared" si="15"/>
        <v>26</v>
      </c>
      <c r="I82" s="17">
        <f t="shared" si="15"/>
        <v>347</v>
      </c>
      <c r="J82" s="8"/>
      <c r="K82" s="8"/>
    </row>
    <row r="83" ht="15.75" customHeight="1">
      <c r="A83" s="17" t="s">
        <v>931</v>
      </c>
      <c r="B83" s="17">
        <f t="shared" ref="B83:I83" si="16">IF(ISNUMBER(B81),B82-B81,"")</f>
        <v>0</v>
      </c>
      <c r="C83" s="17">
        <f t="shared" si="16"/>
        <v>0</v>
      </c>
      <c r="D83" s="17">
        <f t="shared" si="16"/>
        <v>0</v>
      </c>
      <c r="E83" s="17">
        <f t="shared" si="16"/>
        <v>0</v>
      </c>
      <c r="F83" s="17">
        <f t="shared" si="16"/>
        <v>0</v>
      </c>
      <c r="G83" s="17">
        <f t="shared" si="16"/>
        <v>0</v>
      </c>
      <c r="H83" s="17">
        <f t="shared" si="16"/>
        <v>0</v>
      </c>
      <c r="I83" s="17">
        <f t="shared" si="16"/>
        <v>0</v>
      </c>
      <c r="J83" s="8"/>
      <c r="K83" s="8"/>
    </row>
    <row r="84" ht="15.75" customHeight="1">
      <c r="A84" s="8" t="s">
        <v>902</v>
      </c>
      <c r="B84" s="8"/>
      <c r="C84" s="8"/>
      <c r="D84" s="8"/>
      <c r="E84" s="8"/>
      <c r="F84" s="8"/>
      <c r="G84" s="8"/>
      <c r="H84" s="8"/>
      <c r="I84" s="8"/>
      <c r="J84" s="8"/>
      <c r="K84" s="8"/>
    </row>
    <row r="85" ht="15.75" customHeight="1"/>
    <row r="86" ht="15.75" customHeight="1"/>
    <row r="87" ht="15.75" customHeight="1">
      <c r="A87" s="25" t="s">
        <v>1065</v>
      </c>
      <c r="B87" s="26"/>
      <c r="C87" s="26"/>
      <c r="D87" s="26"/>
      <c r="E87" s="26"/>
      <c r="F87" s="26"/>
      <c r="G87" s="26"/>
      <c r="H87" s="26"/>
      <c r="I87" s="26"/>
      <c r="J87" s="26"/>
      <c r="K87" s="26"/>
      <c r="L87" s="26"/>
    </row>
    <row r="88" ht="15.75" customHeight="1">
      <c r="A88" s="27" t="s">
        <v>1070</v>
      </c>
      <c r="B88" s="26"/>
      <c r="C88" s="26"/>
      <c r="D88" s="26"/>
      <c r="E88" s="26"/>
      <c r="F88" s="26"/>
      <c r="G88" s="26"/>
      <c r="H88" s="26"/>
      <c r="I88" s="26"/>
      <c r="J88" s="26"/>
      <c r="K88" s="26"/>
      <c r="L88" s="26"/>
    </row>
    <row r="89" ht="15.75" customHeight="1">
      <c r="A89" s="2" t="s">
        <v>858</v>
      </c>
      <c r="B89" s="2" t="s">
        <v>526</v>
      </c>
      <c r="C89" s="2" t="s">
        <v>622</v>
      </c>
      <c r="D89" s="2" t="s">
        <v>644</v>
      </c>
      <c r="E89" s="2" t="s">
        <v>861</v>
      </c>
      <c r="F89" s="2" t="s">
        <v>862</v>
      </c>
      <c r="G89" s="2" t="s">
        <v>863</v>
      </c>
      <c r="H89" s="2" t="s">
        <v>864</v>
      </c>
      <c r="I89" s="2" t="s">
        <v>34</v>
      </c>
      <c r="J89" s="2" t="s">
        <v>865</v>
      </c>
      <c r="K89" s="2" t="s">
        <v>867</v>
      </c>
    </row>
    <row r="90" ht="15.75" customHeight="1">
      <c r="A90" s="8" t="s">
        <v>1073</v>
      </c>
      <c r="B90" s="8">
        <v>14.0</v>
      </c>
      <c r="C90" s="8">
        <v>7.0</v>
      </c>
      <c r="D90" s="8">
        <v>11.0</v>
      </c>
      <c r="E90" s="8">
        <v>7.0</v>
      </c>
      <c r="F90" s="8">
        <v>8.0</v>
      </c>
      <c r="G90" s="8">
        <v>5.0</v>
      </c>
      <c r="H90" s="8">
        <v>6.0</v>
      </c>
      <c r="I90" s="8">
        <v>58.0</v>
      </c>
      <c r="J90" s="17">
        <f t="shared" ref="J90:J108" si="17">SUM(B90:H90)</f>
        <v>58</v>
      </c>
      <c r="K90" s="17">
        <f t="shared" ref="K90:K108" si="18">IF(ISNUMBER(I90),J90-I90,"")</f>
        <v>0</v>
      </c>
    </row>
    <row r="91" ht="15.75" customHeight="1">
      <c r="A91" s="8" t="s">
        <v>948</v>
      </c>
      <c r="B91" s="8">
        <v>1.0</v>
      </c>
      <c r="C91" s="8">
        <v>0.0</v>
      </c>
      <c r="D91" s="8">
        <v>0.0</v>
      </c>
      <c r="E91" s="8">
        <v>0.0</v>
      </c>
      <c r="F91" s="8">
        <v>0.0</v>
      </c>
      <c r="G91" s="8">
        <v>0.0</v>
      </c>
      <c r="H91" s="8">
        <v>1.0</v>
      </c>
      <c r="I91" s="8">
        <v>2.0</v>
      </c>
      <c r="J91" s="17">
        <f t="shared" si="17"/>
        <v>2</v>
      </c>
      <c r="K91" s="17">
        <f t="shared" si="18"/>
        <v>0</v>
      </c>
    </row>
    <row r="92" ht="15.75" customHeight="1">
      <c r="A92" s="8" t="s">
        <v>1023</v>
      </c>
      <c r="B92" s="8">
        <v>0.0</v>
      </c>
      <c r="C92" s="8">
        <v>0.0</v>
      </c>
      <c r="D92" s="8">
        <v>1.0</v>
      </c>
      <c r="E92" s="8">
        <v>0.0</v>
      </c>
      <c r="F92" s="8">
        <v>0.0</v>
      </c>
      <c r="G92" s="8">
        <v>0.0</v>
      </c>
      <c r="H92" s="8">
        <v>1.0</v>
      </c>
      <c r="I92" s="8">
        <v>2.0</v>
      </c>
      <c r="J92" s="17">
        <f t="shared" si="17"/>
        <v>2</v>
      </c>
      <c r="K92" s="17">
        <f t="shared" si="18"/>
        <v>0</v>
      </c>
    </row>
    <row r="93" ht="15.75" customHeight="1">
      <c r="A93" s="8" t="s">
        <v>950</v>
      </c>
      <c r="B93" s="8">
        <v>8.0</v>
      </c>
      <c r="C93" s="8">
        <v>5.0</v>
      </c>
      <c r="D93" s="8">
        <v>3.0</v>
      </c>
      <c r="E93" s="8">
        <v>5.0</v>
      </c>
      <c r="F93" s="8">
        <v>5.0</v>
      </c>
      <c r="G93" s="8">
        <v>1.0</v>
      </c>
      <c r="H93" s="8">
        <v>3.0</v>
      </c>
      <c r="I93" s="8">
        <v>30.0</v>
      </c>
      <c r="J93" s="17">
        <f t="shared" si="17"/>
        <v>30</v>
      </c>
      <c r="K93" s="17">
        <f t="shared" si="18"/>
        <v>0</v>
      </c>
    </row>
    <row r="94" ht="15.75" customHeight="1">
      <c r="A94" s="8" t="s">
        <v>952</v>
      </c>
      <c r="B94" s="8">
        <v>5.0</v>
      </c>
      <c r="C94" s="8">
        <v>2.0</v>
      </c>
      <c r="D94" s="8">
        <v>7.0</v>
      </c>
      <c r="E94" s="8">
        <v>2.0</v>
      </c>
      <c r="F94" s="8">
        <v>3.0</v>
      </c>
      <c r="G94" s="8">
        <v>4.0</v>
      </c>
      <c r="H94" s="8">
        <v>1.0</v>
      </c>
      <c r="I94" s="8">
        <v>24.0</v>
      </c>
      <c r="J94" s="17">
        <f t="shared" si="17"/>
        <v>24</v>
      </c>
      <c r="K94" s="17">
        <f t="shared" si="18"/>
        <v>0</v>
      </c>
    </row>
    <row r="95" ht="15.75" customHeight="1">
      <c r="A95" s="8" t="s">
        <v>1075</v>
      </c>
      <c r="B95" s="8">
        <v>0.0</v>
      </c>
      <c r="C95" s="8">
        <v>1.0</v>
      </c>
      <c r="D95" s="8">
        <v>0.0</v>
      </c>
      <c r="E95" s="8">
        <v>0.0</v>
      </c>
      <c r="F95" s="8">
        <v>0.0</v>
      </c>
      <c r="G95" s="8">
        <v>0.0</v>
      </c>
      <c r="H95" s="8">
        <v>0.0</v>
      </c>
      <c r="I95" s="8">
        <v>1.0</v>
      </c>
      <c r="J95" s="17">
        <f t="shared" si="17"/>
        <v>1</v>
      </c>
      <c r="K95" s="17">
        <f t="shared" si="18"/>
        <v>0</v>
      </c>
    </row>
    <row r="96" ht="15.75" customHeight="1">
      <c r="A96" s="8" t="s">
        <v>1076</v>
      </c>
      <c r="B96" s="8">
        <v>0.0</v>
      </c>
      <c r="C96" s="8">
        <v>0.0</v>
      </c>
      <c r="D96" s="8">
        <v>0.0</v>
      </c>
      <c r="E96" s="8">
        <v>0.0</v>
      </c>
      <c r="F96" s="8">
        <v>0.0</v>
      </c>
      <c r="G96" s="8">
        <v>0.0</v>
      </c>
      <c r="H96" s="8">
        <v>2.0</v>
      </c>
      <c r="I96" s="8">
        <v>2.0</v>
      </c>
      <c r="J96" s="17">
        <f t="shared" si="17"/>
        <v>2</v>
      </c>
      <c r="K96" s="17">
        <f t="shared" si="18"/>
        <v>0</v>
      </c>
    </row>
    <row r="97" ht="15.75" customHeight="1">
      <c r="A97" s="8" t="s">
        <v>1077</v>
      </c>
      <c r="B97" s="8">
        <v>28.0</v>
      </c>
      <c r="C97" s="8">
        <v>13.0</v>
      </c>
      <c r="D97" s="8">
        <v>23.0</v>
      </c>
      <c r="E97" s="8">
        <v>7.0</v>
      </c>
      <c r="F97" s="8">
        <v>7.0</v>
      </c>
      <c r="G97" s="8">
        <v>3.0</v>
      </c>
      <c r="H97" s="8">
        <v>1.0</v>
      </c>
      <c r="I97" s="8">
        <v>82.0</v>
      </c>
      <c r="J97" s="17">
        <f t="shared" si="17"/>
        <v>82</v>
      </c>
      <c r="K97" s="17">
        <f t="shared" si="18"/>
        <v>0</v>
      </c>
    </row>
    <row r="98" ht="15.75" customHeight="1">
      <c r="A98" s="8" t="s">
        <v>1079</v>
      </c>
      <c r="B98" s="8">
        <v>13.0</v>
      </c>
      <c r="C98" s="8">
        <v>11.0</v>
      </c>
      <c r="D98" s="8">
        <v>19.0</v>
      </c>
      <c r="E98" s="8">
        <v>5.0</v>
      </c>
      <c r="F98" s="8">
        <v>6.0</v>
      </c>
      <c r="G98" s="8">
        <v>2.0</v>
      </c>
      <c r="H98" s="8">
        <v>1.0</v>
      </c>
      <c r="I98" s="8">
        <v>57.0</v>
      </c>
      <c r="J98" s="17">
        <f t="shared" si="17"/>
        <v>57</v>
      </c>
      <c r="K98" s="17">
        <f t="shared" si="18"/>
        <v>0</v>
      </c>
    </row>
    <row r="99" ht="15.75" customHeight="1">
      <c r="A99" s="8" t="s">
        <v>1081</v>
      </c>
      <c r="B99" s="8">
        <v>0.0</v>
      </c>
      <c r="C99" s="8">
        <v>0.0</v>
      </c>
      <c r="D99" s="8">
        <v>1.0</v>
      </c>
      <c r="E99" s="8">
        <v>2.0</v>
      </c>
      <c r="F99" s="8">
        <v>1.0</v>
      </c>
      <c r="G99" s="8">
        <v>0.0</v>
      </c>
      <c r="H99" s="8">
        <v>0.0</v>
      </c>
      <c r="I99" s="8">
        <v>4.0</v>
      </c>
      <c r="J99" s="17">
        <f t="shared" si="17"/>
        <v>4</v>
      </c>
      <c r="K99" s="17">
        <f t="shared" si="18"/>
        <v>0</v>
      </c>
    </row>
    <row r="100" ht="15.75" customHeight="1">
      <c r="A100" s="8" t="s">
        <v>1082</v>
      </c>
      <c r="B100" s="8">
        <v>15.0</v>
      </c>
      <c r="C100" s="8">
        <v>2.0</v>
      </c>
      <c r="D100" s="8">
        <v>3.0</v>
      </c>
      <c r="E100" s="8">
        <v>0.0</v>
      </c>
      <c r="F100" s="8">
        <v>0.0</v>
      </c>
      <c r="G100" s="8">
        <v>1.0</v>
      </c>
      <c r="H100" s="8">
        <v>0.0</v>
      </c>
      <c r="I100" s="8">
        <v>21.0</v>
      </c>
      <c r="J100" s="17">
        <f t="shared" si="17"/>
        <v>21</v>
      </c>
      <c r="K100" s="17">
        <f t="shared" si="18"/>
        <v>0</v>
      </c>
    </row>
    <row r="101" ht="15.75" customHeight="1">
      <c r="A101" s="8" t="s">
        <v>1084</v>
      </c>
      <c r="B101" s="8">
        <v>33.0</v>
      </c>
      <c r="C101" s="8">
        <v>19.0</v>
      </c>
      <c r="D101" s="8">
        <v>28.0</v>
      </c>
      <c r="E101" s="8">
        <v>20.0</v>
      </c>
      <c r="F101" s="8">
        <v>11.0</v>
      </c>
      <c r="G101" s="8">
        <v>2.0</v>
      </c>
      <c r="H101" s="8">
        <v>2.0</v>
      </c>
      <c r="I101" s="8">
        <v>115.0</v>
      </c>
      <c r="J101" s="17">
        <f t="shared" si="17"/>
        <v>115</v>
      </c>
      <c r="K101" s="17">
        <f t="shared" si="18"/>
        <v>0</v>
      </c>
    </row>
    <row r="102" ht="15.75" customHeight="1">
      <c r="A102" s="8" t="s">
        <v>1085</v>
      </c>
      <c r="B102" s="8">
        <v>4.0</v>
      </c>
      <c r="C102" s="8">
        <v>9.0</v>
      </c>
      <c r="D102" s="8">
        <v>26.0</v>
      </c>
      <c r="E102" s="8">
        <v>5.0</v>
      </c>
      <c r="F102" s="8">
        <v>0.0</v>
      </c>
      <c r="G102" s="8">
        <v>2.0</v>
      </c>
      <c r="H102" s="8">
        <v>5.0</v>
      </c>
      <c r="I102" s="8">
        <v>51.0</v>
      </c>
      <c r="J102" s="17">
        <f t="shared" si="17"/>
        <v>51</v>
      </c>
      <c r="K102" s="17">
        <f t="shared" si="18"/>
        <v>0</v>
      </c>
    </row>
    <row r="103" ht="15.75" customHeight="1">
      <c r="A103" s="8" t="s">
        <v>1087</v>
      </c>
      <c r="B103" s="8">
        <v>0.0</v>
      </c>
      <c r="C103" s="8">
        <v>0.0</v>
      </c>
      <c r="D103" s="8">
        <v>0.0</v>
      </c>
      <c r="E103" s="8">
        <v>0.0</v>
      </c>
      <c r="F103" s="8">
        <v>0.0</v>
      </c>
      <c r="G103" s="8">
        <v>0.0</v>
      </c>
      <c r="H103" s="8">
        <v>1.0</v>
      </c>
      <c r="I103" s="8">
        <v>1.0</v>
      </c>
      <c r="J103" s="17">
        <f t="shared" si="17"/>
        <v>1</v>
      </c>
      <c r="K103" s="17">
        <f t="shared" si="18"/>
        <v>0</v>
      </c>
    </row>
    <row r="104" ht="15.75" customHeight="1">
      <c r="A104" s="8" t="s">
        <v>1088</v>
      </c>
      <c r="B104" s="8">
        <v>1.0</v>
      </c>
      <c r="C104" s="8">
        <v>0.0</v>
      </c>
      <c r="D104" s="8">
        <v>0.0</v>
      </c>
      <c r="E104" s="8">
        <v>0.0</v>
      </c>
      <c r="F104" s="8">
        <v>0.0</v>
      </c>
      <c r="G104" s="8">
        <v>0.0</v>
      </c>
      <c r="H104" s="8">
        <v>2.0</v>
      </c>
      <c r="I104" s="8">
        <v>3.0</v>
      </c>
      <c r="J104" s="17">
        <f t="shared" si="17"/>
        <v>3</v>
      </c>
      <c r="K104" s="17">
        <f t="shared" si="18"/>
        <v>0</v>
      </c>
    </row>
    <row r="105" ht="15.75" customHeight="1">
      <c r="A105" s="8" t="s">
        <v>1090</v>
      </c>
      <c r="B105" s="8">
        <v>2.0</v>
      </c>
      <c r="C105" s="8">
        <v>0.0</v>
      </c>
      <c r="D105" s="8">
        <v>1.0</v>
      </c>
      <c r="E105" s="8">
        <v>1.0</v>
      </c>
      <c r="F105" s="8">
        <v>0.0</v>
      </c>
      <c r="G105" s="8">
        <v>0.0</v>
      </c>
      <c r="H105" s="8">
        <v>2.0</v>
      </c>
      <c r="I105" s="8">
        <v>6.0</v>
      </c>
      <c r="J105" s="17">
        <f t="shared" si="17"/>
        <v>6</v>
      </c>
      <c r="K105" s="17">
        <f t="shared" si="18"/>
        <v>0</v>
      </c>
    </row>
    <row r="106" ht="15.75" customHeight="1">
      <c r="A106" s="8" t="s">
        <v>1091</v>
      </c>
      <c r="B106" s="8">
        <v>1.0</v>
      </c>
      <c r="C106" s="8">
        <v>0.0</v>
      </c>
      <c r="D106" s="8">
        <v>0.0</v>
      </c>
      <c r="E106" s="8">
        <v>0.0</v>
      </c>
      <c r="F106" s="8">
        <v>0.0</v>
      </c>
      <c r="G106" s="8">
        <v>0.0</v>
      </c>
      <c r="H106" s="8">
        <v>1.0</v>
      </c>
      <c r="I106" s="8">
        <v>2.0</v>
      </c>
      <c r="J106" s="17">
        <f t="shared" si="17"/>
        <v>2</v>
      </c>
      <c r="K106" s="17">
        <f t="shared" si="18"/>
        <v>0</v>
      </c>
    </row>
    <row r="107" ht="15.75" customHeight="1">
      <c r="A107" s="8" t="s">
        <v>1092</v>
      </c>
      <c r="B107" s="8">
        <v>3.0</v>
      </c>
      <c r="C107" s="8">
        <v>3.0</v>
      </c>
      <c r="D107" s="8">
        <v>2.0</v>
      </c>
      <c r="E107" s="8">
        <v>7.0</v>
      </c>
      <c r="F107" s="8">
        <v>5.0</v>
      </c>
      <c r="G107" s="8">
        <v>2.0</v>
      </c>
      <c r="H107" s="8">
        <v>4.0</v>
      </c>
      <c r="I107" s="8">
        <v>26.0</v>
      </c>
      <c r="J107" s="17">
        <f t="shared" si="17"/>
        <v>26</v>
      </c>
      <c r="K107" s="17">
        <f t="shared" si="18"/>
        <v>0</v>
      </c>
    </row>
    <row r="108" ht="15.75" customHeight="1">
      <c r="A108" s="8" t="s">
        <v>986</v>
      </c>
      <c r="B108" s="8">
        <v>86.0</v>
      </c>
      <c r="C108" s="8">
        <v>52.0</v>
      </c>
      <c r="D108" s="8">
        <v>91.0</v>
      </c>
      <c r="E108" s="8">
        <v>47.0</v>
      </c>
      <c r="F108" s="8">
        <v>31.0</v>
      </c>
      <c r="G108" s="8">
        <v>14.0</v>
      </c>
      <c r="H108" s="8">
        <v>26.0</v>
      </c>
      <c r="I108" s="8">
        <v>347.0</v>
      </c>
      <c r="J108" s="17">
        <f t="shared" si="17"/>
        <v>347</v>
      </c>
      <c r="K108" s="17">
        <f t="shared" si="18"/>
        <v>0</v>
      </c>
    </row>
    <row r="109" ht="15.75" customHeight="1">
      <c r="A109" s="17" t="s">
        <v>921</v>
      </c>
      <c r="B109" s="17">
        <f t="shared" ref="B109:I109" si="19">B90+B95+B96+B97+B101+B102+B103+B104+B105+B106+B107</f>
        <v>86</v>
      </c>
      <c r="C109" s="17">
        <f t="shared" si="19"/>
        <v>52</v>
      </c>
      <c r="D109" s="17">
        <f t="shared" si="19"/>
        <v>91</v>
      </c>
      <c r="E109" s="17">
        <f t="shared" si="19"/>
        <v>47</v>
      </c>
      <c r="F109" s="17">
        <f t="shared" si="19"/>
        <v>31</v>
      </c>
      <c r="G109" s="17">
        <f t="shared" si="19"/>
        <v>14</v>
      </c>
      <c r="H109" s="17">
        <f t="shared" si="19"/>
        <v>26</v>
      </c>
      <c r="I109" s="17">
        <f t="shared" si="19"/>
        <v>347</v>
      </c>
      <c r="J109" s="8"/>
      <c r="K109" s="8"/>
    </row>
    <row r="110" ht="15.75" customHeight="1">
      <c r="A110" s="17" t="s">
        <v>931</v>
      </c>
      <c r="B110" s="17">
        <f t="shared" ref="B110:I110" si="20">IF(ISNUMBER(B108),B109-B108,"")</f>
        <v>0</v>
      </c>
      <c r="C110" s="17">
        <f t="shared" si="20"/>
        <v>0</v>
      </c>
      <c r="D110" s="17">
        <f t="shared" si="20"/>
        <v>0</v>
      </c>
      <c r="E110" s="17">
        <f t="shared" si="20"/>
        <v>0</v>
      </c>
      <c r="F110" s="17">
        <f t="shared" si="20"/>
        <v>0</v>
      </c>
      <c r="G110" s="17">
        <f t="shared" si="20"/>
        <v>0</v>
      </c>
      <c r="H110" s="17">
        <f t="shared" si="20"/>
        <v>0</v>
      </c>
      <c r="I110" s="17">
        <f t="shared" si="20"/>
        <v>0</v>
      </c>
      <c r="J110" s="8"/>
      <c r="K110" s="8"/>
    </row>
    <row r="111" ht="15.75" customHeight="1">
      <c r="A111" s="8" t="s">
        <v>1002</v>
      </c>
      <c r="B111" s="8"/>
      <c r="C111" s="8"/>
      <c r="D111" s="8"/>
      <c r="E111" s="8"/>
      <c r="F111" s="8"/>
      <c r="G111" s="8"/>
      <c r="H111" s="8"/>
      <c r="I111" s="8"/>
      <c r="J111" s="8"/>
      <c r="K111" s="8"/>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40.0"/>
    <col customWidth="1" min="2" max="2" width="15.0"/>
    <col customWidth="1" min="3" max="3" width="17.0"/>
    <col customWidth="1" min="4" max="4" width="12.0"/>
    <col customWidth="1" min="5" max="6" width="16.0"/>
    <col customWidth="1" min="7" max="7" width="15.0"/>
    <col customWidth="1" min="8" max="10" width="16.0"/>
    <col customWidth="1" min="11" max="26" width="8.71"/>
  </cols>
  <sheetData>
    <row r="1">
      <c r="A1" s="23" t="s">
        <v>961</v>
      </c>
    </row>
    <row r="3">
      <c r="A3" s="25" t="s">
        <v>962</v>
      </c>
      <c r="B3" s="26"/>
      <c r="C3" s="26"/>
      <c r="D3" s="26"/>
      <c r="E3" s="26"/>
      <c r="F3" s="26"/>
      <c r="G3" s="26"/>
      <c r="H3" s="26"/>
      <c r="I3" s="26"/>
      <c r="J3" s="26"/>
      <c r="K3" s="26"/>
    </row>
    <row r="4">
      <c r="A4" s="27" t="s">
        <v>972</v>
      </c>
      <c r="B4" s="26"/>
      <c r="C4" s="26"/>
      <c r="D4" s="26"/>
      <c r="E4" s="26"/>
      <c r="F4" s="26"/>
      <c r="G4" s="26"/>
      <c r="H4" s="26"/>
      <c r="I4" s="26"/>
      <c r="J4" s="26"/>
      <c r="K4" s="26"/>
    </row>
    <row r="5">
      <c r="A5" s="2" t="s">
        <v>978</v>
      </c>
      <c r="B5" s="2" t="s">
        <v>979</v>
      </c>
      <c r="C5" s="2" t="s">
        <v>981</v>
      </c>
      <c r="D5" s="2" t="s">
        <v>982</v>
      </c>
      <c r="E5" s="2" t="s">
        <v>984</v>
      </c>
      <c r="F5" s="2" t="s">
        <v>985</v>
      </c>
      <c r="G5" s="2" t="s">
        <v>987</v>
      </c>
      <c r="H5" s="2" t="s">
        <v>988</v>
      </c>
      <c r="I5" s="2" t="s">
        <v>990</v>
      </c>
      <c r="J5" s="2" t="s">
        <v>991</v>
      </c>
    </row>
    <row r="6">
      <c r="A6" s="8" t="s">
        <v>861</v>
      </c>
      <c r="B6" s="28">
        <v>141896.0</v>
      </c>
      <c r="C6" s="28">
        <v>26446.0</v>
      </c>
      <c r="D6" s="8">
        <v>18.6</v>
      </c>
      <c r="E6" s="28">
        <v>5921749.0</v>
      </c>
      <c r="F6" s="28">
        <v>4005713.0</v>
      </c>
      <c r="G6" s="29">
        <f t="shared" ref="G6:G14" si="1">IF(AND(ISNUMBER(B6),B6&gt;0,ISNUMBER(C6)),C6/B6,"")</f>
        <v>0.1863759373</v>
      </c>
      <c r="H6" s="29">
        <f t="shared" ref="H6:H14" si="2">IF(AND(ISNUMBER(G6),ISNUMBER(D6)),G6-D6/100,"")</f>
        <v>0.0003759373062</v>
      </c>
      <c r="I6" s="30">
        <f t="shared" ref="I6:I14" si="3">IF(AND(ISNUMBER(E6),E6&gt;0,ISNUMBER(F6)),F6/E6,"")</f>
        <v>0.6764408623</v>
      </c>
      <c r="J6" s="31">
        <f t="shared" ref="J6:J14" si="4">IF(AND(ISNUMBER(C6),C6&gt;0,ISNUMBER(F6)),F6/C6,"")</f>
        <v>151.4676322</v>
      </c>
    </row>
    <row r="7">
      <c r="A7" s="8" t="s">
        <v>526</v>
      </c>
      <c r="B7" s="28">
        <v>291084.0</v>
      </c>
      <c r="C7" s="28">
        <v>6250.0</v>
      </c>
      <c r="D7" s="8">
        <v>2.1</v>
      </c>
      <c r="E7" s="28">
        <v>2316647.0</v>
      </c>
      <c r="F7" s="28">
        <v>1094624.0</v>
      </c>
      <c r="G7" s="29">
        <f t="shared" si="1"/>
        <v>0.02147146528</v>
      </c>
      <c r="H7" s="29">
        <f t="shared" si="2"/>
        <v>0.0004714652815</v>
      </c>
      <c r="I7" s="30">
        <f t="shared" si="3"/>
        <v>0.4725035795</v>
      </c>
      <c r="J7" s="31">
        <f t="shared" si="4"/>
        <v>175.13984</v>
      </c>
    </row>
    <row r="8">
      <c r="A8" s="8" t="s">
        <v>1013</v>
      </c>
      <c r="B8" s="28">
        <v>209988.0</v>
      </c>
      <c r="C8" s="28">
        <v>4449.0</v>
      </c>
      <c r="D8" s="8">
        <v>2.1</v>
      </c>
      <c r="E8" s="28">
        <v>1780059.0</v>
      </c>
      <c r="F8" s="28">
        <v>1069306.0</v>
      </c>
      <c r="G8" s="29">
        <f t="shared" si="1"/>
        <v>0.02118692497</v>
      </c>
      <c r="H8" s="29">
        <f t="shared" si="2"/>
        <v>0.0001869249671</v>
      </c>
      <c r="I8" s="30">
        <f t="shared" si="3"/>
        <v>0.6007137966</v>
      </c>
      <c r="J8" s="31">
        <f t="shared" si="4"/>
        <v>240.3474938</v>
      </c>
    </row>
    <row r="9">
      <c r="A9" s="8" t="s">
        <v>862</v>
      </c>
      <c r="B9" s="28">
        <v>70073.0</v>
      </c>
      <c r="C9" s="28">
        <v>803.0</v>
      </c>
      <c r="D9" s="8">
        <v>1.1</v>
      </c>
      <c r="E9" s="28">
        <v>74600.0</v>
      </c>
      <c r="F9" s="28">
        <v>83800.0</v>
      </c>
      <c r="G9" s="29">
        <f t="shared" si="1"/>
        <v>0.01145947797</v>
      </c>
      <c r="H9" s="29">
        <f t="shared" si="2"/>
        <v>0.000459477973</v>
      </c>
      <c r="I9" s="30">
        <f t="shared" si="3"/>
        <v>1.123324397</v>
      </c>
      <c r="J9" s="31">
        <f t="shared" si="4"/>
        <v>104.358655</v>
      </c>
    </row>
    <row r="10">
      <c r="A10" s="8" t="s">
        <v>864</v>
      </c>
      <c r="B10" s="28">
        <v>3791.0</v>
      </c>
      <c r="C10" s="28">
        <v>3.0</v>
      </c>
      <c r="D10" s="8">
        <v>0.1</v>
      </c>
      <c r="E10" s="28">
        <v>9114.0</v>
      </c>
      <c r="F10" s="28">
        <v>343.0</v>
      </c>
      <c r="G10" s="29">
        <f t="shared" si="1"/>
        <v>0.0007913479293</v>
      </c>
      <c r="H10" s="29">
        <f t="shared" si="2"/>
        <v>-0.0002086520707</v>
      </c>
      <c r="I10" s="30">
        <f t="shared" si="3"/>
        <v>0.0376344086</v>
      </c>
      <c r="J10" s="31">
        <f t="shared" si="4"/>
        <v>114.3333333</v>
      </c>
    </row>
    <row r="11">
      <c r="A11" s="8" t="s">
        <v>863</v>
      </c>
      <c r="B11" s="28">
        <v>486.0</v>
      </c>
      <c r="C11" s="28">
        <v>0.0</v>
      </c>
      <c r="D11" s="8">
        <v>0.0</v>
      </c>
      <c r="E11" s="28">
        <v>0.0</v>
      </c>
      <c r="F11" s="28">
        <v>0.0</v>
      </c>
      <c r="G11" s="29">
        <f t="shared" si="1"/>
        <v>0</v>
      </c>
      <c r="H11" s="29">
        <f t="shared" si="2"/>
        <v>0</v>
      </c>
      <c r="I11" s="30" t="str">
        <f t="shared" si="3"/>
        <v/>
      </c>
      <c r="J11" s="31" t="str">
        <f t="shared" si="4"/>
        <v/>
      </c>
    </row>
    <row r="12">
      <c r="A12" s="8" t="s">
        <v>668</v>
      </c>
      <c r="B12" s="28" t="s">
        <v>1028</v>
      </c>
      <c r="C12" s="28" t="s">
        <v>1029</v>
      </c>
      <c r="D12" s="8" t="s">
        <v>344</v>
      </c>
      <c r="E12" s="28" t="s">
        <v>1029</v>
      </c>
      <c r="F12" s="28" t="s">
        <v>1029</v>
      </c>
      <c r="G12" s="29" t="str">
        <f t="shared" si="1"/>
        <v/>
      </c>
      <c r="H12" s="29" t="str">
        <f t="shared" si="2"/>
        <v/>
      </c>
      <c r="I12" s="30" t="str">
        <f t="shared" si="3"/>
        <v/>
      </c>
      <c r="J12" s="31" t="str">
        <f t="shared" si="4"/>
        <v/>
      </c>
    </row>
    <row r="13">
      <c r="A13" s="8" t="s">
        <v>1031</v>
      </c>
      <c r="B13" s="28">
        <v>714318.0</v>
      </c>
      <c r="C13" s="28">
        <v>32098.0</v>
      </c>
      <c r="D13" s="8"/>
      <c r="E13" s="28">
        <v>1.0102169E7</v>
      </c>
      <c r="F13" s="28">
        <v>6253788.0</v>
      </c>
      <c r="G13" s="29">
        <f t="shared" si="1"/>
        <v>0.04493516893</v>
      </c>
      <c r="H13" s="29" t="str">
        <f t="shared" si="2"/>
        <v/>
      </c>
      <c r="I13" s="30">
        <f t="shared" si="3"/>
        <v>0.6190539873</v>
      </c>
      <c r="J13" s="31">
        <f t="shared" si="4"/>
        <v>194.8341953</v>
      </c>
    </row>
    <row r="14">
      <c r="A14" s="8" t="s">
        <v>1035</v>
      </c>
      <c r="B14" s="28">
        <v>717318.0</v>
      </c>
      <c r="C14" s="28">
        <v>37951.0</v>
      </c>
      <c r="D14" s="8"/>
      <c r="E14" s="28"/>
      <c r="F14" s="28">
        <v>6253786.0</v>
      </c>
      <c r="G14" s="29">
        <f t="shared" si="1"/>
        <v>0.05290680005</v>
      </c>
      <c r="H14" s="29" t="str">
        <f t="shared" si="2"/>
        <v/>
      </c>
      <c r="I14" s="30" t="str">
        <f t="shared" si="3"/>
        <v/>
      </c>
      <c r="J14" s="31">
        <f t="shared" si="4"/>
        <v>164.7858027</v>
      </c>
    </row>
    <row r="15">
      <c r="A15" s="17" t="s">
        <v>1041</v>
      </c>
      <c r="B15" s="32">
        <f t="shared" ref="B15:C15" si="5">SUM(B6:B12)</f>
        <v>717318</v>
      </c>
      <c r="C15" s="32">
        <f t="shared" si="5"/>
        <v>37951</v>
      </c>
      <c r="D15" s="17"/>
      <c r="E15" s="32">
        <f t="shared" ref="E15:F15" si="6">SUM(E6:E12)</f>
        <v>10102169</v>
      </c>
      <c r="F15" s="32">
        <f t="shared" si="6"/>
        <v>6253786</v>
      </c>
      <c r="G15" s="33"/>
      <c r="H15" s="33"/>
      <c r="I15" s="34"/>
      <c r="J15" s="35"/>
    </row>
    <row r="16">
      <c r="A16" s="17" t="s">
        <v>1045</v>
      </c>
      <c r="B16" s="32">
        <f t="shared" ref="B16:C16" si="7">IF(ISNUMBER(B13),B15-B13,"")</f>
        <v>3000</v>
      </c>
      <c r="C16" s="32">
        <f t="shared" si="7"/>
        <v>5853</v>
      </c>
      <c r="D16" s="17"/>
      <c r="E16" s="32">
        <f t="shared" ref="E16:F16" si="8">IF(ISNUMBER(E13),E15-E13,"")</f>
        <v>0</v>
      </c>
      <c r="F16" s="32">
        <f t="shared" si="8"/>
        <v>-2</v>
      </c>
      <c r="G16" s="33"/>
      <c r="H16" s="33"/>
      <c r="I16" s="34"/>
      <c r="J16" s="35"/>
    </row>
    <row r="17">
      <c r="A17" s="17" t="s">
        <v>1046</v>
      </c>
      <c r="B17" s="32">
        <f>C15/B15</f>
        <v>0.05290680005</v>
      </c>
      <c r="C17" s="28"/>
      <c r="D17" s="8"/>
      <c r="E17" s="28"/>
      <c r="F17" s="28"/>
      <c r="G17" s="33"/>
      <c r="H17" s="33"/>
      <c r="I17" s="34"/>
      <c r="J17" s="35"/>
    </row>
    <row r="20">
      <c r="A20" s="25" t="s">
        <v>1049</v>
      </c>
      <c r="B20" s="26"/>
      <c r="C20" s="26"/>
      <c r="D20" s="26"/>
      <c r="E20" s="26"/>
      <c r="F20" s="26"/>
      <c r="G20" s="26"/>
      <c r="H20" s="26"/>
      <c r="I20" s="26"/>
      <c r="J20" s="26"/>
      <c r="K20" s="26"/>
    </row>
    <row r="21" ht="15.75" customHeight="1">
      <c r="A21" s="27" t="s">
        <v>1050</v>
      </c>
      <c r="B21" s="26"/>
      <c r="C21" s="26"/>
      <c r="D21" s="26"/>
      <c r="E21" s="26"/>
      <c r="F21" s="26"/>
      <c r="G21" s="26"/>
      <c r="H21" s="26"/>
      <c r="I21" s="26"/>
      <c r="J21" s="26"/>
      <c r="K21" s="26"/>
    </row>
    <row r="22" ht="15.75" customHeight="1">
      <c r="A22" s="2" t="s">
        <v>978</v>
      </c>
      <c r="B22" s="2" t="s">
        <v>979</v>
      </c>
      <c r="C22" s="2" t="s">
        <v>1051</v>
      </c>
      <c r="D22" s="2" t="s">
        <v>982</v>
      </c>
      <c r="E22" s="2" t="s">
        <v>984</v>
      </c>
      <c r="F22" s="2" t="s">
        <v>985</v>
      </c>
      <c r="G22" s="2" t="s">
        <v>987</v>
      </c>
      <c r="H22" s="2" t="s">
        <v>988</v>
      </c>
      <c r="I22" s="2" t="s">
        <v>990</v>
      </c>
      <c r="J22" s="2" t="s">
        <v>991</v>
      </c>
    </row>
    <row r="23" ht="15.75" customHeight="1">
      <c r="A23" s="8" t="s">
        <v>861</v>
      </c>
      <c r="B23" s="28">
        <v>141896.0</v>
      </c>
      <c r="C23" s="28">
        <v>26446.0</v>
      </c>
      <c r="D23" s="8">
        <v>18.6</v>
      </c>
      <c r="E23" s="28">
        <v>5921749.0</v>
      </c>
      <c r="F23" s="28">
        <v>4005713.0</v>
      </c>
      <c r="G23" s="29">
        <f t="shared" ref="G23:G29" si="9">IF(AND(ISNUMBER(B23),B23&gt;0,ISNUMBER(C23)),C23/B23,"")</f>
        <v>0.1863759373</v>
      </c>
      <c r="H23" s="29">
        <f t="shared" ref="H23:H29" si="10">IF(AND(ISNUMBER(G23),ISNUMBER(D23)),G23-D23/100,"")</f>
        <v>0.0003759373062</v>
      </c>
      <c r="I23" s="30">
        <f t="shared" ref="I23:I29" si="11">IF(AND(ISNUMBER(E23),E23&gt;0,ISNUMBER(F23)),F23/E23,"")</f>
        <v>0.6764408623</v>
      </c>
      <c r="J23" s="31">
        <f t="shared" ref="J23:J29" si="12">IF(AND(ISNUMBER(C23),C23&gt;0,ISNUMBER(F23)),F23/C23,"")</f>
        <v>151.4676322</v>
      </c>
    </row>
    <row r="24" ht="15.75" customHeight="1">
      <c r="A24" s="8" t="s">
        <v>526</v>
      </c>
      <c r="B24" s="28">
        <v>291084.0</v>
      </c>
      <c r="C24" s="28">
        <v>6250.0</v>
      </c>
      <c r="D24" s="8">
        <v>2.1</v>
      </c>
      <c r="E24" s="28">
        <v>2316647.0</v>
      </c>
      <c r="F24" s="28">
        <v>1094624.0</v>
      </c>
      <c r="G24" s="29">
        <f t="shared" si="9"/>
        <v>0.02147146528</v>
      </c>
      <c r="H24" s="29">
        <f t="shared" si="10"/>
        <v>0.0004714652815</v>
      </c>
      <c r="I24" s="30">
        <f t="shared" si="11"/>
        <v>0.4725035795</v>
      </c>
      <c r="J24" s="31">
        <f t="shared" si="12"/>
        <v>175.13984</v>
      </c>
    </row>
    <row r="25" ht="15.75" customHeight="1">
      <c r="A25" s="8" t="s">
        <v>1013</v>
      </c>
      <c r="B25" s="28">
        <v>209988.0</v>
      </c>
      <c r="C25" s="28">
        <v>4449.0</v>
      </c>
      <c r="D25" s="8">
        <v>2.1</v>
      </c>
      <c r="E25" s="28">
        <v>1780059.0</v>
      </c>
      <c r="F25" s="28">
        <v>1069306.0</v>
      </c>
      <c r="G25" s="29">
        <f t="shared" si="9"/>
        <v>0.02118692497</v>
      </c>
      <c r="H25" s="29">
        <f t="shared" si="10"/>
        <v>0.0001869249671</v>
      </c>
      <c r="I25" s="30">
        <f t="shared" si="11"/>
        <v>0.6007137966</v>
      </c>
      <c r="J25" s="31">
        <f t="shared" si="12"/>
        <v>240.3474938</v>
      </c>
    </row>
    <row r="26" ht="15.75" customHeight="1">
      <c r="A26" s="8" t="s">
        <v>862</v>
      </c>
      <c r="B26" s="28">
        <v>70073.0</v>
      </c>
      <c r="C26" s="28">
        <v>803.0</v>
      </c>
      <c r="D26" s="8">
        <v>1.1</v>
      </c>
      <c r="E26" s="28">
        <v>74600.0</v>
      </c>
      <c r="F26" s="28">
        <v>83800.0</v>
      </c>
      <c r="G26" s="29">
        <f t="shared" si="9"/>
        <v>0.01145947797</v>
      </c>
      <c r="H26" s="29">
        <f t="shared" si="10"/>
        <v>0.000459477973</v>
      </c>
      <c r="I26" s="30">
        <f t="shared" si="11"/>
        <v>1.123324397</v>
      </c>
      <c r="J26" s="31">
        <f t="shared" si="12"/>
        <v>104.358655</v>
      </c>
    </row>
    <row r="27" ht="15.75" customHeight="1">
      <c r="A27" s="8" t="s">
        <v>864</v>
      </c>
      <c r="B27" s="28">
        <v>3791.0</v>
      </c>
      <c r="C27" s="28">
        <v>3.0</v>
      </c>
      <c r="D27" s="8">
        <v>0.1</v>
      </c>
      <c r="E27" s="28">
        <v>9114.0</v>
      </c>
      <c r="F27" s="28">
        <v>343.0</v>
      </c>
      <c r="G27" s="29">
        <f t="shared" si="9"/>
        <v>0.0007913479293</v>
      </c>
      <c r="H27" s="29">
        <f t="shared" si="10"/>
        <v>-0.0002086520707</v>
      </c>
      <c r="I27" s="30">
        <f t="shared" si="11"/>
        <v>0.0376344086</v>
      </c>
      <c r="J27" s="31">
        <f t="shared" si="12"/>
        <v>114.3333333</v>
      </c>
    </row>
    <row r="28" ht="15.75" customHeight="1">
      <c r="A28" s="8" t="s">
        <v>863</v>
      </c>
      <c r="B28" s="28">
        <v>486.0</v>
      </c>
      <c r="C28" s="28">
        <v>0.0</v>
      </c>
      <c r="D28" s="8">
        <v>0.0</v>
      </c>
      <c r="E28" s="28">
        <v>0.0</v>
      </c>
      <c r="F28" s="28">
        <v>0.0</v>
      </c>
      <c r="G28" s="29">
        <f t="shared" si="9"/>
        <v>0</v>
      </c>
      <c r="H28" s="29">
        <f t="shared" si="10"/>
        <v>0</v>
      </c>
      <c r="I28" s="30" t="str">
        <f t="shared" si="11"/>
        <v/>
      </c>
      <c r="J28" s="31" t="str">
        <f t="shared" si="12"/>
        <v/>
      </c>
    </row>
    <row r="29" ht="15.75" customHeight="1">
      <c r="A29" s="8" t="s">
        <v>1059</v>
      </c>
      <c r="B29" s="28">
        <v>714318.0</v>
      </c>
      <c r="C29" s="28">
        <v>32098.0</v>
      </c>
      <c r="D29" s="8"/>
      <c r="E29" s="28">
        <v>1.0102169E7</v>
      </c>
      <c r="F29" s="28">
        <v>6253788.0</v>
      </c>
      <c r="G29" s="29">
        <f t="shared" si="9"/>
        <v>0.04493516893</v>
      </c>
      <c r="H29" s="29" t="str">
        <f t="shared" si="10"/>
        <v/>
      </c>
      <c r="I29" s="30">
        <f t="shared" si="11"/>
        <v>0.6190539873</v>
      </c>
      <c r="J29" s="31">
        <f t="shared" si="12"/>
        <v>194.8341953</v>
      </c>
    </row>
    <row r="30" ht="15.75" customHeight="1">
      <c r="A30" s="17" t="s">
        <v>1041</v>
      </c>
      <c r="B30" s="32">
        <f t="shared" ref="B30:C30" si="13">SUM(B23:B28)</f>
        <v>717318</v>
      </c>
      <c r="C30" s="32">
        <f t="shared" si="13"/>
        <v>37951</v>
      </c>
      <c r="D30" s="17"/>
      <c r="E30" s="32">
        <f t="shared" ref="E30:F30" si="14">SUM(E23:E28)</f>
        <v>10102169</v>
      </c>
      <c r="F30" s="32">
        <f t="shared" si="14"/>
        <v>6253786</v>
      </c>
      <c r="G30" s="33"/>
      <c r="H30" s="33"/>
      <c r="I30" s="34"/>
      <c r="J30" s="35"/>
    </row>
    <row r="31" ht="15.75" customHeight="1">
      <c r="A31" s="17" t="s">
        <v>1045</v>
      </c>
      <c r="B31" s="32">
        <f t="shared" ref="B31:C31" si="15">IF(ISNUMBER(B29),B30-B29,"")</f>
        <v>3000</v>
      </c>
      <c r="C31" s="32">
        <f t="shared" si="15"/>
        <v>5853</v>
      </c>
      <c r="D31" s="17"/>
      <c r="E31" s="32">
        <f t="shared" ref="E31:F31" si="16">IF(ISNUMBER(E29),E30-E29,"")</f>
        <v>0</v>
      </c>
      <c r="F31" s="32">
        <f t="shared" si="16"/>
        <v>-2</v>
      </c>
      <c r="G31" s="33"/>
      <c r="H31" s="33"/>
      <c r="I31" s="34"/>
      <c r="J31" s="35"/>
    </row>
    <row r="32" ht="15.75" customHeight="1">
      <c r="A32" s="17" t="s">
        <v>1046</v>
      </c>
      <c r="B32" s="32">
        <f>C30/B30</f>
        <v>0.05290680005</v>
      </c>
      <c r="C32" s="28"/>
      <c r="D32" s="8"/>
      <c r="E32" s="28"/>
      <c r="F32" s="28"/>
      <c r="G32" s="33"/>
      <c r="H32" s="33"/>
      <c r="I32" s="34"/>
      <c r="J32" s="35"/>
    </row>
    <row r="33" ht="15.75" customHeight="1">
      <c r="A33" s="8" t="s">
        <v>907</v>
      </c>
      <c r="B33" s="28"/>
      <c r="C33" s="28"/>
      <c r="D33" s="8"/>
      <c r="E33" s="28"/>
      <c r="F33" s="28"/>
      <c r="G33" s="33"/>
      <c r="H33" s="33"/>
      <c r="I33" s="34"/>
      <c r="J33" s="35"/>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44.0"/>
    <col customWidth="1" min="2" max="13" width="15.0"/>
    <col customWidth="1" min="14" max="26" width="8.71"/>
  </cols>
  <sheetData>
    <row r="1">
      <c r="A1" s="23" t="s">
        <v>1057</v>
      </c>
    </row>
    <row r="3">
      <c r="A3" s="25" t="s">
        <v>1058</v>
      </c>
      <c r="B3" s="26"/>
      <c r="C3" s="26"/>
      <c r="D3" s="26"/>
      <c r="E3" s="26"/>
      <c r="F3" s="26"/>
      <c r="G3" s="26"/>
      <c r="H3" s="26"/>
      <c r="I3" s="26"/>
      <c r="J3" s="26"/>
    </row>
    <row r="4">
      <c r="A4" s="27" t="s">
        <v>1060</v>
      </c>
      <c r="B4" s="26"/>
      <c r="C4" s="26"/>
      <c r="D4" s="26"/>
      <c r="E4" s="26"/>
      <c r="F4" s="26"/>
      <c r="G4" s="26"/>
      <c r="H4" s="26"/>
      <c r="I4" s="26"/>
      <c r="J4" s="26"/>
    </row>
    <row r="5">
      <c r="A5" s="2" t="s">
        <v>547</v>
      </c>
      <c r="B5" s="2" t="s">
        <v>477</v>
      </c>
      <c r="C5" s="2" t="s">
        <v>1061</v>
      </c>
      <c r="D5" s="2" t="s">
        <v>1062</v>
      </c>
      <c r="E5" s="2" t="s">
        <v>1063</v>
      </c>
      <c r="F5" s="2" t="s">
        <v>1064</v>
      </c>
      <c r="G5" s="2" t="s">
        <v>1063</v>
      </c>
      <c r="H5" s="2" t="s">
        <v>1066</v>
      </c>
      <c r="I5" s="2" t="s">
        <v>1067</v>
      </c>
      <c r="J5" s="2" t="s">
        <v>1068</v>
      </c>
      <c r="K5" s="2" t="s">
        <v>502</v>
      </c>
      <c r="L5" s="2" t="s">
        <v>1069</v>
      </c>
      <c r="M5" s="2" t="s">
        <v>502</v>
      </c>
    </row>
    <row r="6">
      <c r="A6" s="36" t="s">
        <v>526</v>
      </c>
      <c r="B6" s="36">
        <v>11.0</v>
      </c>
      <c r="C6" s="36">
        <v>7.0</v>
      </c>
      <c r="D6" s="36">
        <v>1022.0</v>
      </c>
      <c r="E6" s="36">
        <v>0.75</v>
      </c>
      <c r="F6" s="36">
        <v>1133.0</v>
      </c>
      <c r="G6" s="36">
        <v>0.83</v>
      </c>
      <c r="H6" s="36" t="s">
        <v>1071</v>
      </c>
      <c r="I6" s="37">
        <f>'11_Jurisdiction_Rollup'!$E$2</f>
        <v>1368137</v>
      </c>
      <c r="J6" s="37">
        <f t="shared" ref="J6:J10" si="1">IF(AND(ISNUMBER(D6),I6&gt;0),D6/I6*1000,"")</f>
        <v>0.7470012141</v>
      </c>
      <c r="K6" s="37">
        <f t="shared" ref="K6:K10" si="2">IF(AND(ISNUMBER(E6),ISNUMBER(J6)),J6-E6,"")</f>
        <v>-0.00299878594</v>
      </c>
      <c r="L6" s="37">
        <f t="shared" ref="L6:L10" si="3">IF(AND(ISNUMBER(F6),I6&gt;0),F6/I6*1000,"")</f>
        <v>0.8281334399</v>
      </c>
      <c r="M6" s="37">
        <f t="shared" ref="M6:M10" si="4">IF(AND(ISNUMBER(G6),ISNUMBER(L6)),L6-G6,"")</f>
        <v>-0.001866560147</v>
      </c>
    </row>
    <row r="7">
      <c r="A7" s="36" t="s">
        <v>622</v>
      </c>
      <c r="B7" s="36">
        <v>4.0</v>
      </c>
      <c r="C7" s="36">
        <v>2.0</v>
      </c>
      <c r="D7" s="36">
        <v>360.0</v>
      </c>
      <c r="E7" s="36">
        <v>0.49</v>
      </c>
      <c r="F7" s="36">
        <v>406.0</v>
      </c>
      <c r="G7" s="36">
        <v>0.55</v>
      </c>
      <c r="H7" s="36" t="s">
        <v>1074</v>
      </c>
      <c r="I7" s="37">
        <f>'11_Jurisdiction_Rollup'!$E$3</f>
        <v>741428</v>
      </c>
      <c r="J7" s="37">
        <f t="shared" si="1"/>
        <v>0.4855495072</v>
      </c>
      <c r="K7" s="37">
        <f t="shared" si="2"/>
        <v>-0.004450492833</v>
      </c>
      <c r="L7" s="37">
        <f t="shared" si="3"/>
        <v>0.5475919442</v>
      </c>
      <c r="M7" s="37">
        <f t="shared" si="4"/>
        <v>-0.002408055806</v>
      </c>
    </row>
    <row r="8">
      <c r="A8" s="36" t="s">
        <v>644</v>
      </c>
      <c r="B8" s="36">
        <v>6.0</v>
      </c>
      <c r="C8" s="36">
        <v>6.0</v>
      </c>
      <c r="D8" s="36">
        <v>648.0</v>
      </c>
      <c r="E8" s="36">
        <v>0.8</v>
      </c>
      <c r="F8" s="36">
        <v>784.0</v>
      </c>
      <c r="G8" s="36">
        <v>0.96</v>
      </c>
      <c r="H8" s="36" t="s">
        <v>1078</v>
      </c>
      <c r="I8" s="37">
        <f>'11_Jurisdiction_Rollup'!$E$4</f>
        <v>813243</v>
      </c>
      <c r="J8" s="37">
        <f t="shared" si="1"/>
        <v>0.7968098096</v>
      </c>
      <c r="K8" s="37">
        <f t="shared" si="2"/>
        <v>-0.003190190386</v>
      </c>
      <c r="L8" s="37">
        <f t="shared" si="3"/>
        <v>0.9640414981</v>
      </c>
      <c r="M8" s="37">
        <f t="shared" si="4"/>
        <v>0.004041498052</v>
      </c>
    </row>
    <row r="9">
      <c r="A9" s="36" t="s">
        <v>668</v>
      </c>
      <c r="B9" s="36">
        <v>0.0</v>
      </c>
      <c r="C9" s="36">
        <v>0.0</v>
      </c>
      <c r="D9" s="36">
        <v>0.0</v>
      </c>
      <c r="E9" s="36">
        <v>0.0</v>
      </c>
      <c r="F9" s="36">
        <v>4.0</v>
      </c>
      <c r="G9" s="36">
        <v>0.02</v>
      </c>
      <c r="H9" s="36" t="s">
        <v>1083</v>
      </c>
      <c r="I9" s="37">
        <f>'11_Jurisdiction_Rollup'!$E$5</f>
        <v>214703</v>
      </c>
      <c r="J9" s="37">
        <f t="shared" si="1"/>
        <v>0</v>
      </c>
      <c r="K9" s="37">
        <f t="shared" si="2"/>
        <v>0</v>
      </c>
      <c r="L9" s="37">
        <f t="shared" si="3"/>
        <v>0.01863038709</v>
      </c>
      <c r="M9" s="37">
        <f t="shared" si="4"/>
        <v>-0.001369612907</v>
      </c>
    </row>
    <row r="10">
      <c r="A10" s="36" t="s">
        <v>696</v>
      </c>
      <c r="B10" s="36">
        <v>21.0</v>
      </c>
      <c r="C10" s="36">
        <v>15.0</v>
      </c>
      <c r="D10" s="36">
        <v>2030.0</v>
      </c>
      <c r="E10" s="36">
        <v>0.65</v>
      </c>
      <c r="F10" s="36">
        <v>2327.0</v>
      </c>
      <c r="G10" s="36">
        <v>0.74</v>
      </c>
      <c r="H10" s="36" t="s">
        <v>1086</v>
      </c>
      <c r="I10" s="37">
        <f>'11_Jurisdiction_Rollup'!$E$6</f>
        <v>3137511</v>
      </c>
      <c r="J10" s="37">
        <f t="shared" si="1"/>
        <v>0.6470096838</v>
      </c>
      <c r="K10" s="37">
        <f t="shared" si="2"/>
        <v>-0.002990316209</v>
      </c>
      <c r="L10" s="37">
        <f t="shared" si="3"/>
        <v>0.7416707065</v>
      </c>
      <c r="M10" s="37">
        <f t="shared" si="4"/>
        <v>0.001670706493</v>
      </c>
    </row>
    <row r="11">
      <c r="A11" s="37" t="s">
        <v>1089</v>
      </c>
      <c r="B11" s="37">
        <f t="shared" ref="B11:D11" si="5">SUM(B6:B9)</f>
        <v>21</v>
      </c>
      <c r="C11" s="37">
        <f t="shared" si="5"/>
        <v>15</v>
      </c>
      <c r="D11" s="37">
        <f t="shared" si="5"/>
        <v>2030</v>
      </c>
      <c r="E11" s="37"/>
      <c r="F11" s="37">
        <f>SUM(F6:F9)</f>
        <v>2327</v>
      </c>
      <c r="G11" s="37"/>
    </row>
    <row r="12">
      <c r="A12" s="37" t="s">
        <v>1093</v>
      </c>
      <c r="B12" s="37">
        <f t="shared" ref="B12:D12" si="6">IF(ISNUMBER(B10),B11-B10,"")</f>
        <v>0</v>
      </c>
      <c r="C12" s="37">
        <f t="shared" si="6"/>
        <v>0</v>
      </c>
      <c r="D12" s="37">
        <f t="shared" si="6"/>
        <v>0</v>
      </c>
      <c r="E12" s="37"/>
      <c r="F12" s="37">
        <f>IF(ISNUMBER(F10),F11-F10,"")</f>
        <v>0</v>
      </c>
      <c r="G12" s="37"/>
    </row>
    <row r="15">
      <c r="A15" s="25" t="s">
        <v>1095</v>
      </c>
      <c r="B15" s="26"/>
      <c r="C15" s="26"/>
      <c r="D15" s="26"/>
      <c r="E15" s="26"/>
      <c r="F15" s="26"/>
      <c r="G15" s="26"/>
      <c r="H15" s="26"/>
      <c r="I15" s="26"/>
      <c r="J15" s="26"/>
    </row>
    <row r="16">
      <c r="A16" s="27" t="s">
        <v>1096</v>
      </c>
      <c r="B16" s="26"/>
      <c r="C16" s="26"/>
      <c r="D16" s="26"/>
      <c r="E16" s="26"/>
      <c r="F16" s="26"/>
      <c r="G16" s="26"/>
      <c r="H16" s="26"/>
      <c r="I16" s="26"/>
      <c r="J16" s="26"/>
    </row>
    <row r="17">
      <c r="A17" s="2" t="s">
        <v>1097</v>
      </c>
      <c r="B17" s="2" t="s">
        <v>1098</v>
      </c>
      <c r="C17" s="2" t="s">
        <v>1099</v>
      </c>
      <c r="D17" s="2" t="s">
        <v>1100</v>
      </c>
      <c r="E17" s="2" t="s">
        <v>1101</v>
      </c>
      <c r="F17" s="2" t="s">
        <v>1102</v>
      </c>
    </row>
    <row r="18">
      <c r="A18" s="8" t="s">
        <v>1103</v>
      </c>
      <c r="B18" s="8" t="s">
        <v>1104</v>
      </c>
      <c r="C18" s="8" t="s">
        <v>527</v>
      </c>
      <c r="D18" s="8" t="s">
        <v>1106</v>
      </c>
      <c r="E18" s="8">
        <v>438.0</v>
      </c>
      <c r="F18" s="8" t="s">
        <v>1108</v>
      </c>
    </row>
    <row r="19">
      <c r="A19" s="8" t="s">
        <v>1109</v>
      </c>
      <c r="B19" s="8" t="s">
        <v>1104</v>
      </c>
      <c r="C19" s="8" t="s">
        <v>648</v>
      </c>
      <c r="D19" s="8" t="s">
        <v>1110</v>
      </c>
      <c r="E19" s="8">
        <v>150.0</v>
      </c>
      <c r="F19" s="8" t="s">
        <v>1108</v>
      </c>
    </row>
    <row r="20">
      <c r="A20" s="8" t="s">
        <v>1111</v>
      </c>
      <c r="B20" s="8" t="s">
        <v>1104</v>
      </c>
      <c r="C20" s="8" t="s">
        <v>908</v>
      </c>
      <c r="D20" s="8" t="s">
        <v>1110</v>
      </c>
      <c r="E20" s="8">
        <v>100.0</v>
      </c>
      <c r="F20" s="8" t="s">
        <v>1113</v>
      </c>
    </row>
    <row r="21" ht="15.75" customHeight="1">
      <c r="A21" s="8" t="s">
        <v>1115</v>
      </c>
      <c r="B21" s="8" t="s">
        <v>1116</v>
      </c>
      <c r="C21" s="8" t="s">
        <v>527</v>
      </c>
      <c r="D21" s="8" t="s">
        <v>1110</v>
      </c>
      <c r="E21" s="8">
        <v>50.0</v>
      </c>
      <c r="F21" s="8" t="s">
        <v>1113</v>
      </c>
    </row>
    <row r="22" ht="15.75" customHeight="1">
      <c r="A22" s="8" t="s">
        <v>1117</v>
      </c>
      <c r="B22" s="8" t="s">
        <v>1116</v>
      </c>
      <c r="C22" s="8" t="s">
        <v>908</v>
      </c>
      <c r="D22" s="8" t="s">
        <v>1110</v>
      </c>
      <c r="E22" s="8">
        <v>50.0</v>
      </c>
      <c r="F22" s="8" t="s">
        <v>1113</v>
      </c>
    </row>
    <row r="23" ht="15.75" customHeight="1">
      <c r="A23" s="8" t="s">
        <v>1119</v>
      </c>
      <c r="B23" s="8" t="s">
        <v>1116</v>
      </c>
      <c r="C23" s="8" t="s">
        <v>527</v>
      </c>
      <c r="D23" s="8" t="s">
        <v>1110</v>
      </c>
      <c r="E23" s="8">
        <v>30.0</v>
      </c>
      <c r="F23" s="8" t="s">
        <v>1113</v>
      </c>
    </row>
    <row r="24" ht="15.75" customHeight="1">
      <c r="A24" s="8" t="s">
        <v>1123</v>
      </c>
      <c r="B24" s="8" t="s">
        <v>1116</v>
      </c>
      <c r="C24" s="8" t="s">
        <v>527</v>
      </c>
      <c r="D24" s="8" t="s">
        <v>1110</v>
      </c>
      <c r="E24" s="8">
        <v>30.0</v>
      </c>
      <c r="F24" s="8" t="s">
        <v>1113</v>
      </c>
    </row>
    <row r="25" ht="15.75" customHeight="1">
      <c r="A25" s="8" t="s">
        <v>1125</v>
      </c>
      <c r="B25" s="8" t="s">
        <v>1104</v>
      </c>
      <c r="C25" s="8" t="s">
        <v>823</v>
      </c>
      <c r="D25" s="8" t="s">
        <v>1110</v>
      </c>
      <c r="E25" s="8">
        <v>25.0</v>
      </c>
      <c r="F25" s="8" t="s">
        <v>1113</v>
      </c>
    </row>
    <row r="26" ht="15.75" customHeight="1">
      <c r="A26" s="8" t="s">
        <v>1128</v>
      </c>
      <c r="B26" s="8" t="s">
        <v>1104</v>
      </c>
      <c r="C26" s="8" t="s">
        <v>1080</v>
      </c>
      <c r="D26" s="8" t="s">
        <v>1110</v>
      </c>
      <c r="E26" s="8">
        <v>25.0</v>
      </c>
      <c r="F26" s="8" t="s">
        <v>1113</v>
      </c>
    </row>
    <row r="27" ht="15.75" customHeight="1">
      <c r="A27" s="8" t="s">
        <v>1131</v>
      </c>
      <c r="B27" s="8" t="s">
        <v>1104</v>
      </c>
      <c r="C27" s="8" t="s">
        <v>694</v>
      </c>
      <c r="D27" s="8" t="s">
        <v>1110</v>
      </c>
      <c r="E27" s="8">
        <v>25.0</v>
      </c>
      <c r="F27" s="8" t="s">
        <v>1113</v>
      </c>
    </row>
    <row r="28" ht="15.75" customHeight="1">
      <c r="A28" s="8" t="s">
        <v>1133</v>
      </c>
      <c r="B28" s="8" t="s">
        <v>1116</v>
      </c>
      <c r="C28" s="8" t="s">
        <v>770</v>
      </c>
      <c r="D28" s="8" t="s">
        <v>1110</v>
      </c>
      <c r="E28" s="8">
        <v>12.0</v>
      </c>
      <c r="F28" s="8" t="s">
        <v>1113</v>
      </c>
    </row>
    <row r="29" ht="15.75" customHeight="1">
      <c r="A29" s="8" t="s">
        <v>1134</v>
      </c>
      <c r="B29" s="8" t="s">
        <v>1135</v>
      </c>
      <c r="C29" s="8" t="s">
        <v>1136</v>
      </c>
      <c r="D29" s="8" t="s">
        <v>1137</v>
      </c>
      <c r="E29" s="8">
        <v>935.0</v>
      </c>
      <c r="F29" s="8" t="s">
        <v>344</v>
      </c>
    </row>
    <row r="30" ht="15.75" customHeight="1">
      <c r="A30" s="17" t="s">
        <v>1138</v>
      </c>
      <c r="B30" s="17"/>
      <c r="C30" s="17"/>
      <c r="D30" s="17"/>
      <c r="E30" s="17">
        <f>E18+E19+E20+E21+E22+E23+E24+E25+E26+E27+E28</f>
        <v>935</v>
      </c>
      <c r="F30" s="17"/>
    </row>
    <row r="31" ht="15.75" customHeight="1">
      <c r="A31" s="17" t="s">
        <v>1139</v>
      </c>
      <c r="B31" s="17"/>
      <c r="C31" s="17"/>
      <c r="D31" s="17"/>
      <c r="E31" s="17">
        <f>E30-(E29)</f>
        <v>0</v>
      </c>
      <c r="F31" s="17"/>
    </row>
    <row r="32" ht="15.75" customHeight="1"/>
    <row r="33" ht="15.75" customHeight="1"/>
    <row r="34" ht="15.75" customHeight="1">
      <c r="A34" s="25" t="s">
        <v>1141</v>
      </c>
      <c r="B34" s="26"/>
      <c r="C34" s="26"/>
      <c r="D34" s="26"/>
      <c r="E34" s="26"/>
      <c r="F34" s="26"/>
      <c r="G34" s="26"/>
      <c r="H34" s="26"/>
      <c r="I34" s="26"/>
      <c r="J34" s="26"/>
    </row>
    <row r="35" ht="15.75" customHeight="1">
      <c r="A35" s="27" t="s">
        <v>1143</v>
      </c>
      <c r="B35" s="26"/>
      <c r="C35" s="26"/>
      <c r="D35" s="26"/>
      <c r="E35" s="26"/>
      <c r="F35" s="26"/>
      <c r="G35" s="26"/>
      <c r="H35" s="26"/>
      <c r="I35" s="26"/>
      <c r="J35" s="26"/>
    </row>
    <row r="36" ht="15.75" customHeight="1">
      <c r="A36" s="2" t="s">
        <v>1146</v>
      </c>
      <c r="B36" s="2" t="s">
        <v>1099</v>
      </c>
      <c r="C36" s="2" t="s">
        <v>1098</v>
      </c>
      <c r="D36" s="2" t="s">
        <v>1147</v>
      </c>
      <c r="E36" s="2" t="s">
        <v>1101</v>
      </c>
      <c r="F36" s="2" t="s">
        <v>1151</v>
      </c>
    </row>
    <row r="37" ht="15.75" customHeight="1">
      <c r="A37" s="8" t="s">
        <v>1152</v>
      </c>
      <c r="B37" s="8" t="s">
        <v>1153</v>
      </c>
      <c r="C37" s="8" t="s">
        <v>1154</v>
      </c>
      <c r="D37" s="8" t="s">
        <v>1155</v>
      </c>
      <c r="E37" s="8">
        <v>200.0</v>
      </c>
      <c r="F37" s="8" t="s">
        <v>1156</v>
      </c>
    </row>
    <row r="38" ht="15.75" customHeight="1">
      <c r="A38" s="8" t="s">
        <v>1157</v>
      </c>
      <c r="B38" s="8" t="s">
        <v>1159</v>
      </c>
      <c r="C38" s="8" t="s">
        <v>1160</v>
      </c>
      <c r="D38" s="8" t="s">
        <v>1110</v>
      </c>
      <c r="E38" s="8">
        <v>50.0</v>
      </c>
      <c r="F38" s="8" t="s">
        <v>1113</v>
      </c>
    </row>
    <row r="39" ht="15.75" customHeight="1">
      <c r="A39" s="8" t="s">
        <v>1162</v>
      </c>
      <c r="B39" s="8" t="s">
        <v>1159</v>
      </c>
      <c r="C39" s="8" t="s">
        <v>1163</v>
      </c>
      <c r="D39" s="8" t="s">
        <v>1110</v>
      </c>
      <c r="E39" s="8">
        <v>50.0</v>
      </c>
      <c r="F39" s="8" t="s">
        <v>1113</v>
      </c>
    </row>
    <row r="40" ht="15.75" customHeight="1">
      <c r="A40" s="8" t="s">
        <v>1164</v>
      </c>
      <c r="B40" s="8" t="s">
        <v>1165</v>
      </c>
      <c r="C40" s="8" t="s">
        <v>1163</v>
      </c>
      <c r="D40" s="8" t="s">
        <v>1110</v>
      </c>
      <c r="E40" s="8">
        <v>25.0</v>
      </c>
      <c r="F40" s="8" t="s">
        <v>1113</v>
      </c>
    </row>
    <row r="41" ht="15.75" customHeight="1">
      <c r="A41" s="8" t="s">
        <v>1166</v>
      </c>
      <c r="B41" s="8" t="s">
        <v>1167</v>
      </c>
      <c r="C41" s="8" t="s">
        <v>1169</v>
      </c>
      <c r="D41" s="8" t="s">
        <v>1170</v>
      </c>
      <c r="E41" s="8">
        <v>25.0</v>
      </c>
      <c r="F41" s="8" t="s">
        <v>1113</v>
      </c>
    </row>
    <row r="42" ht="15.75" customHeight="1">
      <c r="A42" s="8" t="s">
        <v>1174</v>
      </c>
      <c r="B42" s="8" t="s">
        <v>1167</v>
      </c>
      <c r="C42" s="8" t="s">
        <v>1160</v>
      </c>
      <c r="D42" s="8" t="s">
        <v>1170</v>
      </c>
      <c r="E42" s="8">
        <v>10.0</v>
      </c>
      <c r="F42" s="8" t="s">
        <v>1113</v>
      </c>
    </row>
    <row r="43" ht="15.75" customHeight="1">
      <c r="A43" s="8" t="s">
        <v>1179</v>
      </c>
      <c r="B43" s="8"/>
      <c r="C43" s="8" t="s">
        <v>1181</v>
      </c>
      <c r="D43" s="8"/>
      <c r="E43" s="8">
        <v>360.0</v>
      </c>
      <c r="F43" s="8"/>
    </row>
    <row r="44" ht="15.75" customHeight="1">
      <c r="A44" s="8" t="s">
        <v>1185</v>
      </c>
      <c r="B44" s="8" t="s">
        <v>1187</v>
      </c>
      <c r="C44" s="8" t="s">
        <v>1154</v>
      </c>
      <c r="D44" s="8" t="s">
        <v>1106</v>
      </c>
      <c r="E44" s="8">
        <v>375.0</v>
      </c>
      <c r="F44" s="8" t="s">
        <v>1108</v>
      </c>
    </row>
    <row r="45" ht="15.75" customHeight="1">
      <c r="A45" s="8" t="s">
        <v>1188</v>
      </c>
      <c r="B45" s="8" t="s">
        <v>1187</v>
      </c>
      <c r="C45" s="8" t="s">
        <v>1116</v>
      </c>
      <c r="D45" s="8" t="s">
        <v>1155</v>
      </c>
      <c r="E45" s="8">
        <v>40.0</v>
      </c>
      <c r="F45" s="8" t="s">
        <v>1108</v>
      </c>
    </row>
    <row r="46" ht="15.75" customHeight="1">
      <c r="A46" s="8" t="s">
        <v>1189</v>
      </c>
      <c r="B46" s="8" t="s">
        <v>1187</v>
      </c>
      <c r="C46" s="8" t="s">
        <v>1116</v>
      </c>
      <c r="D46" s="8" t="s">
        <v>1110</v>
      </c>
      <c r="E46" s="8">
        <v>30.0</v>
      </c>
      <c r="F46" s="8" t="s">
        <v>1113</v>
      </c>
    </row>
    <row r="47" ht="15.75" customHeight="1">
      <c r="A47" s="8" t="s">
        <v>1190</v>
      </c>
      <c r="B47" s="8" t="s">
        <v>1187</v>
      </c>
      <c r="C47" s="8" t="s">
        <v>1116</v>
      </c>
      <c r="D47" s="8" t="s">
        <v>1110</v>
      </c>
      <c r="E47" s="8">
        <v>25.0</v>
      </c>
      <c r="F47" s="8" t="s">
        <v>1113</v>
      </c>
    </row>
    <row r="48" ht="15.75" customHeight="1">
      <c r="A48" s="8" t="s">
        <v>1191</v>
      </c>
      <c r="B48" s="8" t="s">
        <v>1187</v>
      </c>
      <c r="C48" s="8" t="s">
        <v>1116</v>
      </c>
      <c r="D48" s="8" t="s">
        <v>1110</v>
      </c>
      <c r="E48" s="8">
        <v>24.0</v>
      </c>
      <c r="F48" s="8" t="s">
        <v>1113</v>
      </c>
    </row>
    <row r="49" ht="15.75" customHeight="1">
      <c r="A49" s="8" t="s">
        <v>1193</v>
      </c>
      <c r="B49" s="8" t="s">
        <v>1187</v>
      </c>
      <c r="C49" s="8" t="s">
        <v>1116</v>
      </c>
      <c r="D49" s="8" t="s">
        <v>1170</v>
      </c>
      <c r="E49" s="8">
        <v>18.0</v>
      </c>
      <c r="F49" s="8" t="s">
        <v>1113</v>
      </c>
    </row>
    <row r="50" ht="15.75" customHeight="1">
      <c r="A50" s="8" t="s">
        <v>1194</v>
      </c>
      <c r="B50" s="8"/>
      <c r="C50" s="8" t="s">
        <v>1195</v>
      </c>
      <c r="D50" s="8"/>
      <c r="E50" s="8">
        <v>512.0</v>
      </c>
      <c r="F50" s="8"/>
    </row>
    <row r="51" ht="15.75" customHeight="1">
      <c r="A51" s="17" t="s">
        <v>1138</v>
      </c>
      <c r="B51" s="17"/>
      <c r="C51" s="17"/>
      <c r="D51" s="17"/>
      <c r="E51" s="17">
        <f>E37+E38+E39+E40+E41+E42+E44+E45+E46+E47+E48+E49</f>
        <v>872</v>
      </c>
      <c r="F51" s="17"/>
    </row>
    <row r="52" ht="15.75" customHeight="1">
      <c r="A52" s="17" t="s">
        <v>1139</v>
      </c>
      <c r="B52" s="17"/>
      <c r="C52" s="17"/>
      <c r="D52" s="17"/>
      <c r="E52" s="17">
        <f>E51-(E43+E50)</f>
        <v>0</v>
      </c>
      <c r="F52" s="17"/>
    </row>
    <row r="53" ht="15.75" customHeight="1">
      <c r="A53" s="8" t="s">
        <v>765</v>
      </c>
      <c r="B53" s="8"/>
      <c r="C53" s="8"/>
      <c r="D53" s="8"/>
      <c r="E53" s="8"/>
      <c r="F53" s="8"/>
    </row>
    <row r="54" ht="15.75" customHeight="1"/>
    <row r="55" ht="15.75" customHeight="1"/>
    <row r="56" ht="15.75" customHeight="1">
      <c r="A56" s="25" t="s">
        <v>1197</v>
      </c>
      <c r="B56" s="26"/>
      <c r="C56" s="26"/>
      <c r="D56" s="26"/>
      <c r="E56" s="26"/>
      <c r="F56" s="26"/>
      <c r="G56" s="26"/>
      <c r="H56" s="26"/>
      <c r="I56" s="26"/>
      <c r="J56" s="26"/>
    </row>
    <row r="57" ht="15.75" customHeight="1">
      <c r="A57" s="27" t="s">
        <v>1199</v>
      </c>
      <c r="B57" s="26"/>
      <c r="C57" s="26"/>
      <c r="D57" s="26"/>
      <c r="E57" s="26"/>
      <c r="F57" s="26"/>
      <c r="G57" s="26"/>
      <c r="H57" s="26"/>
      <c r="I57" s="26"/>
      <c r="J57" s="26"/>
    </row>
    <row r="58" ht="15.75" customHeight="1">
      <c r="A58" s="2" t="s">
        <v>1146</v>
      </c>
      <c r="B58" s="2" t="s">
        <v>1200</v>
      </c>
      <c r="C58" s="2" t="s">
        <v>1099</v>
      </c>
      <c r="D58" s="2" t="s">
        <v>1098</v>
      </c>
      <c r="E58" s="2" t="s">
        <v>1147</v>
      </c>
      <c r="F58" s="2" t="s">
        <v>1101</v>
      </c>
      <c r="G58" s="2" t="s">
        <v>1151</v>
      </c>
    </row>
    <row r="59" ht="15.75" customHeight="1">
      <c r="A59" s="8" t="s">
        <v>1201</v>
      </c>
      <c r="B59" s="8" t="s">
        <v>1097</v>
      </c>
      <c r="C59" s="8" t="s">
        <v>1203</v>
      </c>
      <c r="D59" s="8" t="s">
        <v>1104</v>
      </c>
      <c r="E59" s="8" t="s">
        <v>1155</v>
      </c>
      <c r="F59" s="8">
        <v>299.0</v>
      </c>
      <c r="G59" s="8" t="s">
        <v>1204</v>
      </c>
    </row>
    <row r="60" ht="15.75" customHeight="1">
      <c r="A60" s="8" t="s">
        <v>1206</v>
      </c>
      <c r="B60" s="8" t="s">
        <v>1097</v>
      </c>
      <c r="C60" s="8" t="s">
        <v>1207</v>
      </c>
      <c r="D60" s="8" t="s">
        <v>1104</v>
      </c>
      <c r="E60" s="8" t="s">
        <v>1110</v>
      </c>
      <c r="F60" s="8">
        <v>100.0</v>
      </c>
      <c r="G60" s="8" t="s">
        <v>1113</v>
      </c>
    </row>
    <row r="61" ht="15.75" customHeight="1">
      <c r="A61" s="8" t="s">
        <v>1208</v>
      </c>
      <c r="B61" s="8" t="s">
        <v>1097</v>
      </c>
      <c r="C61" s="8" t="s">
        <v>1209</v>
      </c>
      <c r="D61" s="8" t="s">
        <v>1116</v>
      </c>
      <c r="E61" s="8" t="s">
        <v>1110</v>
      </c>
      <c r="F61" s="8">
        <v>70.0</v>
      </c>
      <c r="G61" s="8" t="s">
        <v>1113</v>
      </c>
    </row>
    <row r="62" ht="15.75" customHeight="1">
      <c r="A62" s="8" t="s">
        <v>1211</v>
      </c>
      <c r="B62" s="8" t="s">
        <v>1097</v>
      </c>
      <c r="C62" s="8" t="s">
        <v>1212</v>
      </c>
      <c r="D62" s="8" t="s">
        <v>1116</v>
      </c>
      <c r="E62" s="8" t="s">
        <v>1110</v>
      </c>
      <c r="F62" s="8">
        <v>25.0</v>
      </c>
      <c r="G62" s="8" t="s">
        <v>1204</v>
      </c>
    </row>
    <row r="63" ht="15.75" customHeight="1">
      <c r="A63" s="8" t="s">
        <v>1213</v>
      </c>
      <c r="B63" s="8" t="s">
        <v>1097</v>
      </c>
      <c r="C63" s="8" t="s">
        <v>1214</v>
      </c>
      <c r="D63" s="8" t="s">
        <v>1104</v>
      </c>
      <c r="E63" s="8" t="s">
        <v>1110</v>
      </c>
      <c r="F63" s="8">
        <v>25.0</v>
      </c>
      <c r="G63" s="8" t="s">
        <v>1113</v>
      </c>
    </row>
    <row r="64" ht="15.75" customHeight="1">
      <c r="A64" s="8" t="s">
        <v>1215</v>
      </c>
      <c r="B64" s="8" t="s">
        <v>1097</v>
      </c>
      <c r="C64" s="8" t="s">
        <v>1217</v>
      </c>
      <c r="D64" s="8" t="s">
        <v>1116</v>
      </c>
      <c r="E64" s="8" t="s">
        <v>1110</v>
      </c>
      <c r="F64" s="8">
        <v>23.0</v>
      </c>
      <c r="G64" s="8" t="s">
        <v>1113</v>
      </c>
    </row>
    <row r="65" ht="15.75" customHeight="1">
      <c r="A65" s="8" t="s">
        <v>1220</v>
      </c>
      <c r="B65" s="8" t="s">
        <v>1170</v>
      </c>
      <c r="C65" s="8" t="s">
        <v>1223</v>
      </c>
      <c r="D65" s="8" t="s">
        <v>1116</v>
      </c>
      <c r="E65" s="8" t="s">
        <v>344</v>
      </c>
      <c r="F65" s="8">
        <v>35.0</v>
      </c>
      <c r="G65" s="8" t="s">
        <v>1113</v>
      </c>
    </row>
    <row r="66" ht="15.75" customHeight="1">
      <c r="A66" s="8" t="s">
        <v>1225</v>
      </c>
      <c r="B66" s="8" t="s">
        <v>1170</v>
      </c>
      <c r="C66" s="8" t="s">
        <v>1207</v>
      </c>
      <c r="D66" s="8" t="s">
        <v>1116</v>
      </c>
      <c r="E66" s="8" t="s">
        <v>344</v>
      </c>
      <c r="F66" s="8">
        <v>25.0</v>
      </c>
      <c r="G66" s="8" t="s">
        <v>1113</v>
      </c>
    </row>
    <row r="67" ht="15.75" customHeight="1">
      <c r="A67" s="8" t="s">
        <v>1226</v>
      </c>
      <c r="B67" s="8" t="s">
        <v>1170</v>
      </c>
      <c r="C67" s="8" t="s">
        <v>1227</v>
      </c>
      <c r="D67" s="8" t="s">
        <v>1116</v>
      </c>
      <c r="E67" s="8" t="s">
        <v>344</v>
      </c>
      <c r="F67" s="8">
        <v>12.0</v>
      </c>
      <c r="G67" s="8" t="s">
        <v>1113</v>
      </c>
    </row>
    <row r="68" ht="15.75" customHeight="1">
      <c r="A68" s="8" t="s">
        <v>1228</v>
      </c>
      <c r="B68" s="8" t="s">
        <v>1170</v>
      </c>
      <c r="C68" s="8" t="s">
        <v>1207</v>
      </c>
      <c r="D68" s="8" t="s">
        <v>1116</v>
      </c>
      <c r="E68" s="8" t="s">
        <v>344</v>
      </c>
      <c r="F68" s="8">
        <v>12.0</v>
      </c>
      <c r="G68" s="8" t="s">
        <v>1113</v>
      </c>
    </row>
    <row r="69" ht="15.75" customHeight="1">
      <c r="A69" s="8" t="s">
        <v>1229</v>
      </c>
      <c r="B69" s="8" t="s">
        <v>1170</v>
      </c>
      <c r="C69" s="8" t="s">
        <v>1230</v>
      </c>
      <c r="D69" s="8" t="s">
        <v>1116</v>
      </c>
      <c r="E69" s="8" t="s">
        <v>344</v>
      </c>
      <c r="F69" s="8">
        <v>12.0</v>
      </c>
      <c r="G69" s="8" t="s">
        <v>1113</v>
      </c>
    </row>
    <row r="70" ht="15.75" customHeight="1">
      <c r="A70" s="8" t="s">
        <v>1234</v>
      </c>
      <c r="B70" s="8" t="s">
        <v>1170</v>
      </c>
      <c r="C70" s="8" t="s">
        <v>1235</v>
      </c>
      <c r="D70" s="8" t="s">
        <v>1116</v>
      </c>
      <c r="E70" s="8" t="s">
        <v>344</v>
      </c>
      <c r="F70" s="8">
        <v>10.0</v>
      </c>
      <c r="G70" s="8" t="s">
        <v>1113</v>
      </c>
    </row>
    <row r="71" ht="15.75" customHeight="1">
      <c r="A71" s="8" t="s">
        <v>1134</v>
      </c>
      <c r="B71" s="8" t="s">
        <v>1236</v>
      </c>
      <c r="C71" s="8" t="s">
        <v>1237</v>
      </c>
      <c r="D71" s="8" t="s">
        <v>1238</v>
      </c>
      <c r="E71" s="8" t="s">
        <v>1239</v>
      </c>
      <c r="F71" s="8">
        <v>648.0</v>
      </c>
      <c r="G71" s="8" t="s">
        <v>344</v>
      </c>
    </row>
    <row r="72" ht="15.75" customHeight="1">
      <c r="A72" s="17" t="s">
        <v>1138</v>
      </c>
      <c r="B72" s="17"/>
      <c r="C72" s="17"/>
      <c r="D72" s="17"/>
      <c r="E72" s="17"/>
      <c r="F72" s="17">
        <f>F59+F60+F61+F62+F63+F64+F65+F66+F67+F68+F69+F70</f>
        <v>648</v>
      </c>
      <c r="G72" s="17"/>
    </row>
    <row r="73" ht="15.75" customHeight="1">
      <c r="A73" s="17" t="s">
        <v>1139</v>
      </c>
      <c r="B73" s="17"/>
      <c r="C73" s="17"/>
      <c r="D73" s="17"/>
      <c r="E73" s="17"/>
      <c r="F73" s="17">
        <f>F72-(F71)</f>
        <v>0</v>
      </c>
      <c r="G73" s="17"/>
    </row>
    <row r="74" ht="15.75" customHeight="1">
      <c r="A74" s="8" t="s">
        <v>913</v>
      </c>
      <c r="B74" s="8"/>
      <c r="C74" s="8"/>
      <c r="D74" s="8"/>
      <c r="E74" s="8"/>
      <c r="F74" s="8"/>
      <c r="G74" s="8"/>
    </row>
    <row r="75" ht="15.75" customHeight="1"/>
    <row r="76" ht="15.75" customHeight="1"/>
    <row r="77" ht="15.75" customHeight="1">
      <c r="A77" s="25" t="s">
        <v>1252</v>
      </c>
      <c r="B77" s="26"/>
      <c r="C77" s="26"/>
      <c r="D77" s="26"/>
      <c r="E77" s="26"/>
      <c r="F77" s="26"/>
      <c r="G77" s="26"/>
      <c r="H77" s="26"/>
      <c r="I77" s="26"/>
      <c r="J77" s="26"/>
    </row>
    <row r="78" ht="15.75" customHeight="1">
      <c r="A78" s="27" t="s">
        <v>1254</v>
      </c>
      <c r="B78" s="26"/>
      <c r="C78" s="26"/>
      <c r="D78" s="26"/>
      <c r="E78" s="26"/>
      <c r="F78" s="26"/>
      <c r="G78" s="26"/>
      <c r="H78" s="26"/>
      <c r="I78" s="26"/>
      <c r="J78" s="26"/>
    </row>
    <row r="79" ht="15.75" customHeight="1">
      <c r="A79" s="2" t="s">
        <v>1257</v>
      </c>
      <c r="B79" s="2" t="s">
        <v>1258</v>
      </c>
      <c r="C79" s="2" t="s">
        <v>1260</v>
      </c>
      <c r="D79" s="2" t="s">
        <v>1261</v>
      </c>
      <c r="E79" s="2" t="s">
        <v>1134</v>
      </c>
      <c r="F79" s="2" t="s">
        <v>1063</v>
      </c>
      <c r="G79" s="2" t="s">
        <v>1264</v>
      </c>
      <c r="H79" s="2" t="s">
        <v>1265</v>
      </c>
    </row>
    <row r="80" ht="15.75" customHeight="1">
      <c r="A80" s="8" t="s">
        <v>1097</v>
      </c>
      <c r="B80" s="8">
        <v>6.0</v>
      </c>
      <c r="C80" s="8">
        <v>424.0</v>
      </c>
      <c r="D80" s="8">
        <v>118.0</v>
      </c>
      <c r="E80" s="8">
        <v>542.0</v>
      </c>
      <c r="F80" s="8">
        <v>0.67</v>
      </c>
      <c r="G80" s="37">
        <f t="shared" ref="G80:G85" si="7">IF(AND(ISNUMBER(C80),ISNUMBER(D80)),C80+D80,"")</f>
        <v>542</v>
      </c>
      <c r="H80" s="37">
        <f t="shared" ref="H80:H85" si="8">IF(AND(ISNUMBER(E80),ISNUMBER(G80)),G80-E80,"")</f>
        <v>0</v>
      </c>
    </row>
    <row r="81" ht="15.75" customHeight="1">
      <c r="A81" s="8" t="s">
        <v>1170</v>
      </c>
      <c r="B81" s="8">
        <v>6.0</v>
      </c>
      <c r="C81" s="8">
        <v>0.0</v>
      </c>
      <c r="D81" s="8">
        <v>106.0</v>
      </c>
      <c r="E81" s="8">
        <v>106.0</v>
      </c>
      <c r="F81" s="8"/>
      <c r="G81" s="37">
        <f t="shared" si="7"/>
        <v>106</v>
      </c>
      <c r="H81" s="37">
        <f t="shared" si="8"/>
        <v>0</v>
      </c>
    </row>
    <row r="82" ht="15.75" customHeight="1">
      <c r="A82" s="8" t="s">
        <v>1272</v>
      </c>
      <c r="B82" s="8">
        <v>12.0</v>
      </c>
      <c r="C82" s="8">
        <v>424.0</v>
      </c>
      <c r="D82" s="8">
        <v>224.0</v>
      </c>
      <c r="E82" s="8">
        <v>648.0</v>
      </c>
      <c r="F82" s="8">
        <v>0.8</v>
      </c>
      <c r="G82" s="37">
        <f t="shared" si="7"/>
        <v>648</v>
      </c>
      <c r="H82" s="37">
        <f t="shared" si="8"/>
        <v>0</v>
      </c>
    </row>
    <row r="83" ht="15.75" customHeight="1">
      <c r="A83" s="8" t="s">
        <v>1276</v>
      </c>
      <c r="B83" s="8">
        <v>57.0</v>
      </c>
      <c r="C83" s="8">
        <v>52.0</v>
      </c>
      <c r="D83" s="8">
        <v>82.0</v>
      </c>
      <c r="E83" s="8">
        <v>134.0</v>
      </c>
      <c r="F83" s="8"/>
      <c r="G83" s="37">
        <f t="shared" si="7"/>
        <v>134</v>
      </c>
      <c r="H83" s="37">
        <f t="shared" si="8"/>
        <v>0</v>
      </c>
    </row>
    <row r="84" ht="15.75" customHeight="1">
      <c r="A84" s="8" t="s">
        <v>1281</v>
      </c>
      <c r="B84" s="8" t="s">
        <v>1283</v>
      </c>
      <c r="C84" s="8">
        <v>2.0</v>
      </c>
      <c r="D84" s="8">
        <v>0.0</v>
      </c>
      <c r="E84" s="8">
        <v>2.0</v>
      </c>
      <c r="F84" s="8"/>
      <c r="G84" s="37">
        <f t="shared" si="7"/>
        <v>2</v>
      </c>
      <c r="H84" s="37">
        <f t="shared" si="8"/>
        <v>0</v>
      </c>
    </row>
    <row r="85" ht="15.75" customHeight="1">
      <c r="A85" s="8" t="s">
        <v>1064</v>
      </c>
      <c r="B85" s="8">
        <v>70.0</v>
      </c>
      <c r="C85" s="8">
        <v>478.0</v>
      </c>
      <c r="D85" s="8">
        <v>306.0</v>
      </c>
      <c r="E85" s="8">
        <v>784.0</v>
      </c>
      <c r="F85" s="8">
        <v>0.96</v>
      </c>
      <c r="G85" s="37">
        <f t="shared" si="7"/>
        <v>784</v>
      </c>
      <c r="H85" s="37">
        <f t="shared" si="8"/>
        <v>0</v>
      </c>
    </row>
    <row r="86" ht="15.75" customHeight="1">
      <c r="A86" s="8" t="s">
        <v>1294</v>
      </c>
      <c r="B86" s="8"/>
      <c r="C86" s="8">
        <v>61.0</v>
      </c>
      <c r="D86" s="8">
        <v>39.0</v>
      </c>
      <c r="E86" s="8">
        <v>100.0</v>
      </c>
      <c r="F86" s="8"/>
    </row>
    <row r="87" ht="15.75" customHeight="1">
      <c r="A87" s="8" t="s">
        <v>919</v>
      </c>
      <c r="B87" s="8"/>
      <c r="C87" s="8"/>
      <c r="D87" s="8"/>
      <c r="E87" s="8"/>
      <c r="F87" s="8"/>
    </row>
    <row r="88" ht="15.75" customHeight="1"/>
    <row r="89" ht="15.75" customHeight="1"/>
    <row r="90" ht="15.75" customHeight="1">
      <c r="A90" s="25" t="s">
        <v>1301</v>
      </c>
      <c r="B90" s="26"/>
      <c r="C90" s="26"/>
      <c r="D90" s="26"/>
      <c r="E90" s="26"/>
      <c r="F90" s="26"/>
      <c r="G90" s="26"/>
      <c r="H90" s="26"/>
      <c r="I90" s="26"/>
      <c r="J90" s="26"/>
    </row>
    <row r="91" ht="15.75" customHeight="1">
      <c r="A91" s="27" t="s">
        <v>1305</v>
      </c>
      <c r="B91" s="26"/>
      <c r="C91" s="26"/>
      <c r="D91" s="26"/>
      <c r="E91" s="26"/>
      <c r="F91" s="26"/>
      <c r="G91" s="26"/>
      <c r="H91" s="26"/>
      <c r="I91" s="26"/>
      <c r="J91" s="26"/>
    </row>
    <row r="92" ht="15.75" customHeight="1">
      <c r="A92" s="2" t="s">
        <v>1257</v>
      </c>
      <c r="B92" s="2" t="s">
        <v>1258</v>
      </c>
      <c r="C92" s="2" t="s">
        <v>1260</v>
      </c>
      <c r="D92" s="2" t="s">
        <v>1261</v>
      </c>
      <c r="E92" s="2" t="s">
        <v>1313</v>
      </c>
      <c r="F92" s="2" t="s">
        <v>1063</v>
      </c>
      <c r="G92" s="2" t="s">
        <v>1264</v>
      </c>
      <c r="H92" s="2" t="s">
        <v>1265</v>
      </c>
    </row>
    <row r="93" ht="15.75" customHeight="1">
      <c r="A93" s="8" t="s">
        <v>1097</v>
      </c>
      <c r="B93" s="8">
        <v>11.0</v>
      </c>
      <c r="C93" s="8">
        <v>763.0</v>
      </c>
      <c r="D93" s="8">
        <v>172.0</v>
      </c>
      <c r="E93" s="8">
        <v>935.0</v>
      </c>
      <c r="F93" s="8">
        <v>0.68</v>
      </c>
      <c r="G93" s="37">
        <f t="shared" ref="G93:G98" si="9">IF(AND(ISNUMBER(C93),ISNUMBER(D93)),C93+D93,"")</f>
        <v>935</v>
      </c>
      <c r="H93" s="37">
        <f t="shared" ref="H93:H98" si="10">IF(AND(ISNUMBER(E93),ISNUMBER(G93)),G93-E93,"")</f>
        <v>0</v>
      </c>
    </row>
    <row r="94" ht="15.75" customHeight="1">
      <c r="A94" s="8" t="s">
        <v>1170</v>
      </c>
      <c r="B94" s="8">
        <v>7.0</v>
      </c>
      <c r="C94" s="8">
        <v>25.0</v>
      </c>
      <c r="D94" s="8">
        <v>62.0</v>
      </c>
      <c r="E94" s="8">
        <v>87.0</v>
      </c>
      <c r="F94" s="8"/>
      <c r="G94" s="37">
        <f t="shared" si="9"/>
        <v>87</v>
      </c>
      <c r="H94" s="37">
        <f t="shared" si="10"/>
        <v>0</v>
      </c>
    </row>
    <row r="95" ht="15.75" customHeight="1">
      <c r="A95" s="8" t="s">
        <v>1272</v>
      </c>
      <c r="B95" s="8">
        <v>18.0</v>
      </c>
      <c r="C95" s="8">
        <v>788.0</v>
      </c>
      <c r="D95" s="8">
        <v>234.0</v>
      </c>
      <c r="E95" s="8">
        <v>1022.0</v>
      </c>
      <c r="F95" s="8">
        <v>0.75</v>
      </c>
      <c r="G95" s="37">
        <f t="shared" si="9"/>
        <v>1022</v>
      </c>
      <c r="H95" s="37">
        <f t="shared" si="10"/>
        <v>0</v>
      </c>
    </row>
    <row r="96" ht="15.75" customHeight="1">
      <c r="A96" s="8" t="s">
        <v>1276</v>
      </c>
      <c r="B96" s="8">
        <v>43.0</v>
      </c>
      <c r="C96" s="8">
        <v>74.0</v>
      </c>
      <c r="D96" s="8">
        <v>29.0</v>
      </c>
      <c r="E96" s="8">
        <v>103.0</v>
      </c>
      <c r="F96" s="8"/>
      <c r="G96" s="37">
        <f t="shared" si="9"/>
        <v>103</v>
      </c>
      <c r="H96" s="37">
        <f t="shared" si="10"/>
        <v>0</v>
      </c>
    </row>
    <row r="97" ht="15.75" customHeight="1">
      <c r="A97" s="8" t="s">
        <v>1358</v>
      </c>
      <c r="B97" s="8" t="s">
        <v>1359</v>
      </c>
      <c r="C97" s="8">
        <v>8.0</v>
      </c>
      <c r="D97" s="8">
        <v>0.0</v>
      </c>
      <c r="E97" s="8">
        <v>8.0</v>
      </c>
      <c r="F97" s="8"/>
      <c r="G97" s="37">
        <f t="shared" si="9"/>
        <v>8</v>
      </c>
      <c r="H97" s="37">
        <f t="shared" si="10"/>
        <v>0</v>
      </c>
    </row>
    <row r="98" ht="15.75" customHeight="1">
      <c r="A98" s="8" t="s">
        <v>1064</v>
      </c>
      <c r="B98" s="8">
        <v>65.0</v>
      </c>
      <c r="C98" s="8">
        <v>870.0</v>
      </c>
      <c r="D98" s="8">
        <v>263.0</v>
      </c>
      <c r="E98" s="8">
        <v>1133.0</v>
      </c>
      <c r="F98" s="8">
        <v>0.83</v>
      </c>
      <c r="G98" s="37">
        <f t="shared" si="9"/>
        <v>1133</v>
      </c>
      <c r="H98" s="37">
        <f t="shared" si="10"/>
        <v>0</v>
      </c>
    </row>
    <row r="99" ht="15.75" customHeight="1">
      <c r="A99" s="8" t="s">
        <v>1368</v>
      </c>
      <c r="B99" s="8"/>
      <c r="C99" s="8">
        <v>76.8</v>
      </c>
      <c r="D99" s="8">
        <v>23.2</v>
      </c>
      <c r="E99" s="8">
        <v>100.0</v>
      </c>
      <c r="F99" s="8"/>
    </row>
    <row r="100" ht="15.75" customHeight="1">
      <c r="A100" s="8" t="s">
        <v>525</v>
      </c>
      <c r="B100" s="8"/>
      <c r="C100" s="8"/>
      <c r="D100" s="8"/>
      <c r="E100" s="8"/>
      <c r="F100" s="8"/>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30.0"/>
    <col customWidth="1" min="2" max="2" width="16.0"/>
    <col customWidth="1" min="3" max="3" width="14.0"/>
    <col customWidth="1" min="4" max="5" width="18.0"/>
    <col customWidth="1" min="6" max="6" width="60.0"/>
    <col customWidth="1" min="7" max="8" width="14.0"/>
    <col customWidth="1" min="9" max="9" width="18.0"/>
    <col customWidth="1" min="10" max="10" width="14.0"/>
    <col customWidth="1" min="11" max="11" width="44.0"/>
    <col customWidth="1" min="12" max="26" width="8.71"/>
  </cols>
  <sheetData>
    <row r="1">
      <c r="A1" s="23" t="s">
        <v>1105</v>
      </c>
    </row>
    <row r="3">
      <c r="A3" s="25" t="s">
        <v>1107</v>
      </c>
      <c r="B3" s="26"/>
      <c r="C3" s="26"/>
      <c r="D3" s="26"/>
      <c r="E3" s="26"/>
      <c r="F3" s="26"/>
      <c r="G3" s="26"/>
      <c r="H3" s="26"/>
    </row>
    <row r="4">
      <c r="A4" s="27" t="s">
        <v>1114</v>
      </c>
      <c r="B4" s="26"/>
      <c r="C4" s="26"/>
      <c r="D4" s="26"/>
      <c r="E4" s="26"/>
      <c r="F4" s="26"/>
      <c r="G4" s="26"/>
      <c r="H4" s="26"/>
    </row>
    <row r="5">
      <c r="A5" s="2" t="s">
        <v>547</v>
      </c>
      <c r="B5" s="2" t="s">
        <v>1118</v>
      </c>
      <c r="C5" s="2" t="s">
        <v>1120</v>
      </c>
      <c r="D5" s="2" t="s">
        <v>1121</v>
      </c>
      <c r="E5" s="2" t="s">
        <v>1122</v>
      </c>
      <c r="F5" s="2" t="s">
        <v>575</v>
      </c>
      <c r="G5" s="2" t="s">
        <v>1124</v>
      </c>
      <c r="H5" s="2" t="s">
        <v>1126</v>
      </c>
      <c r="I5" s="2" t="s">
        <v>1127</v>
      </c>
      <c r="J5" s="2" t="s">
        <v>1129</v>
      </c>
      <c r="K5" s="2" t="s">
        <v>1130</v>
      </c>
    </row>
    <row r="6">
      <c r="A6" s="8" t="s">
        <v>526</v>
      </c>
      <c r="B6" s="8">
        <v>407.0</v>
      </c>
      <c r="C6" s="8">
        <v>67.0</v>
      </c>
      <c r="D6" s="8">
        <v>242.0</v>
      </c>
      <c r="E6" s="8">
        <v>98.0</v>
      </c>
      <c r="F6" s="8" t="s">
        <v>1132</v>
      </c>
      <c r="G6" s="30">
        <f t="shared" ref="G6:G10" si="1">IF(AND(ISNUMBER(B6),B6&gt;0,ISNUMBER(C6)),C6/B6,"")</f>
        <v>0.1646191646</v>
      </c>
      <c r="H6" s="30">
        <f t="shared" ref="H6:H10" si="2">IF(AND(ISNUMBER(B6),B6&gt;0,ISNUMBER(E6)),E6/B6,"")</f>
        <v>0.2407862408</v>
      </c>
      <c r="I6" s="17">
        <f t="shared" ref="I6:I10" si="3">IF(AND(ISNUMBER(C6),ISNUMBER(D6),ISNUMBER(E6)),C6+D6+E6,"")</f>
        <v>407</v>
      </c>
      <c r="J6" s="17">
        <f t="shared" ref="J6:J10" si="4">IF(AND(ISNUMBER(B6),ISNUMBER(I6)),B6-I6,"")</f>
        <v>0</v>
      </c>
    </row>
    <row r="7">
      <c r="A7" s="8" t="s">
        <v>622</v>
      </c>
      <c r="B7" s="8">
        <v>300.0</v>
      </c>
      <c r="C7" s="8">
        <v>25.0</v>
      </c>
      <c r="D7" s="8">
        <v>54.0</v>
      </c>
      <c r="E7" s="8">
        <v>221.0</v>
      </c>
      <c r="F7" s="8" t="s">
        <v>1142</v>
      </c>
      <c r="G7" s="30">
        <f t="shared" si="1"/>
        <v>0.08333333333</v>
      </c>
      <c r="H7" s="30">
        <f t="shared" si="2"/>
        <v>0.7366666667</v>
      </c>
      <c r="I7" s="17">
        <f t="shared" si="3"/>
        <v>300</v>
      </c>
      <c r="J7" s="17">
        <f t="shared" si="4"/>
        <v>0</v>
      </c>
    </row>
    <row r="8">
      <c r="A8" s="8" t="s">
        <v>644</v>
      </c>
      <c r="B8" s="8">
        <v>63.0</v>
      </c>
      <c r="C8" s="8">
        <v>17.0</v>
      </c>
      <c r="D8" s="8">
        <v>18.0</v>
      </c>
      <c r="E8" s="8">
        <v>28.0</v>
      </c>
      <c r="F8" s="8" t="s">
        <v>1144</v>
      </c>
      <c r="G8" s="30">
        <f t="shared" si="1"/>
        <v>0.2698412698</v>
      </c>
      <c r="H8" s="30">
        <f t="shared" si="2"/>
        <v>0.4444444444</v>
      </c>
      <c r="I8" s="17">
        <f t="shared" si="3"/>
        <v>63</v>
      </c>
      <c r="J8" s="17">
        <f t="shared" si="4"/>
        <v>0</v>
      </c>
      <c r="K8" s="38" t="s">
        <v>1145</v>
      </c>
    </row>
    <row r="9">
      <c r="A9" s="8" t="s">
        <v>668</v>
      </c>
      <c r="B9" s="8">
        <v>66.0</v>
      </c>
      <c r="C9" s="8">
        <v>6.0</v>
      </c>
      <c r="D9" s="8">
        <v>54.0</v>
      </c>
      <c r="E9" s="8">
        <v>6.0</v>
      </c>
      <c r="F9" s="8" t="s">
        <v>1149</v>
      </c>
      <c r="G9" s="30">
        <f t="shared" si="1"/>
        <v>0.09090909091</v>
      </c>
      <c r="H9" s="30">
        <f t="shared" si="2"/>
        <v>0.09090909091</v>
      </c>
      <c r="I9" s="17">
        <f t="shared" si="3"/>
        <v>66</v>
      </c>
      <c r="J9" s="17">
        <f t="shared" si="4"/>
        <v>0</v>
      </c>
    </row>
    <row r="10">
      <c r="A10" s="8" t="s">
        <v>696</v>
      </c>
      <c r="B10" s="8">
        <v>836.0</v>
      </c>
      <c r="C10" s="8">
        <v>115.0</v>
      </c>
      <c r="D10" s="8">
        <v>368.0</v>
      </c>
      <c r="E10" s="8">
        <v>353.0</v>
      </c>
      <c r="F10" s="8" t="s">
        <v>1161</v>
      </c>
      <c r="G10" s="30">
        <f t="shared" si="1"/>
        <v>0.1375598086</v>
      </c>
      <c r="H10" s="30">
        <f t="shared" si="2"/>
        <v>0.4222488038</v>
      </c>
      <c r="I10" s="17">
        <f t="shared" si="3"/>
        <v>836</v>
      </c>
      <c r="J10" s="17">
        <f t="shared" si="4"/>
        <v>0</v>
      </c>
    </row>
    <row r="11">
      <c r="A11" s="17" t="s">
        <v>1089</v>
      </c>
      <c r="B11" s="17">
        <f t="shared" ref="B11:E11" si="5">SUM(B6:B9)</f>
        <v>836</v>
      </c>
      <c r="C11" s="17">
        <f t="shared" si="5"/>
        <v>115</v>
      </c>
      <c r="D11" s="17">
        <f t="shared" si="5"/>
        <v>368</v>
      </c>
      <c r="E11" s="17">
        <f t="shared" si="5"/>
        <v>353</v>
      </c>
      <c r="F11" s="17"/>
      <c r="G11" s="8"/>
      <c r="H11" s="8"/>
      <c r="I11" s="8"/>
      <c r="J11" s="8"/>
    </row>
    <row r="12">
      <c r="A12" s="17" t="s">
        <v>1093</v>
      </c>
      <c r="B12" s="17">
        <f t="shared" ref="B12:E12" si="6">IF(ISNUMBER(B10),B11-B10,"")</f>
        <v>0</v>
      </c>
      <c r="C12" s="17">
        <f t="shared" si="6"/>
        <v>0</v>
      </c>
      <c r="D12" s="17">
        <f t="shared" si="6"/>
        <v>0</v>
      </c>
      <c r="E12" s="17">
        <f t="shared" si="6"/>
        <v>0</v>
      </c>
      <c r="F12" s="17"/>
      <c r="G12" s="8"/>
      <c r="H12" s="8"/>
      <c r="I12" s="8"/>
      <c r="J12" s="8"/>
    </row>
    <row r="13">
      <c r="A13" s="8" t="s">
        <v>1192</v>
      </c>
      <c r="B13" s="8"/>
      <c r="C13" s="8"/>
      <c r="D13" s="8"/>
      <c r="E13" s="8"/>
      <c r="F13" s="8"/>
      <c r="G13" s="8"/>
      <c r="H13" s="8"/>
      <c r="I13" s="8"/>
      <c r="J13"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30.0"/>
    <col customWidth="1" min="2" max="2" width="18.0"/>
    <col customWidth="1" min="3" max="3" width="16.0"/>
    <col customWidth="1" min="4" max="4" width="12.0"/>
    <col customWidth="1" min="5" max="6" width="16.0"/>
    <col customWidth="1" min="7" max="7" width="42.0"/>
    <col customWidth="1" min="8" max="8" width="70.0"/>
    <col customWidth="1" min="9" max="9" width="60.0"/>
    <col customWidth="1" min="10" max="12" width="16.0"/>
    <col customWidth="1" min="13" max="13" width="20.0"/>
    <col customWidth="1" min="14" max="26" width="8.71"/>
  </cols>
  <sheetData>
    <row r="1">
      <c r="A1" s="23" t="s">
        <v>1148</v>
      </c>
    </row>
    <row r="3">
      <c r="A3" s="25" t="s">
        <v>1150</v>
      </c>
      <c r="B3" s="26"/>
      <c r="C3" s="26"/>
      <c r="D3" s="26"/>
      <c r="E3" s="26"/>
      <c r="F3" s="26"/>
      <c r="G3" s="26"/>
      <c r="H3" s="26"/>
    </row>
    <row r="4">
      <c r="A4" s="39" t="s">
        <v>1158</v>
      </c>
      <c r="B4" s="39"/>
      <c r="C4" s="39"/>
      <c r="D4" s="39"/>
      <c r="E4" s="39"/>
      <c r="F4" s="39"/>
      <c r="G4" s="39"/>
      <c r="H4" s="39"/>
      <c r="I4" s="8"/>
      <c r="J4" s="8"/>
      <c r="K4" s="8"/>
      <c r="L4" s="8"/>
      <c r="M4" s="8"/>
      <c r="N4" s="8"/>
    </row>
    <row r="5">
      <c r="A5" s="40" t="s">
        <v>547</v>
      </c>
      <c r="B5" s="40" t="s">
        <v>1168</v>
      </c>
      <c r="C5" s="40" t="s">
        <v>1172</v>
      </c>
      <c r="D5" s="40" t="s">
        <v>1173</v>
      </c>
      <c r="E5" s="40" t="s">
        <v>1175</v>
      </c>
      <c r="F5" s="40" t="s">
        <v>1176</v>
      </c>
      <c r="G5" s="40" t="s">
        <v>1177</v>
      </c>
      <c r="H5" s="40" t="s">
        <v>1178</v>
      </c>
      <c r="I5" s="40" t="s">
        <v>1180</v>
      </c>
      <c r="J5" s="40" t="s">
        <v>1182</v>
      </c>
      <c r="K5" s="40" t="s">
        <v>1183</v>
      </c>
      <c r="L5" s="40" t="s">
        <v>1184</v>
      </c>
      <c r="M5" s="40" t="s">
        <v>1186</v>
      </c>
      <c r="N5" s="8"/>
    </row>
    <row r="6">
      <c r="A6" s="8" t="s">
        <v>526</v>
      </c>
      <c r="B6" s="8">
        <v>44.0</v>
      </c>
      <c r="C6" s="8">
        <v>68.0</v>
      </c>
      <c r="D6" s="8">
        <v>24.0</v>
      </c>
      <c r="E6" s="8">
        <v>31.0</v>
      </c>
      <c r="F6" s="8">
        <v>1230578.0</v>
      </c>
      <c r="G6" s="17">
        <f>'11_Jurisdiction_Rollup'!$E$2</f>
        <v>1368137</v>
      </c>
      <c r="H6" s="17">
        <f>ROUND(G6/'05_Assumptions'!$B$4,0)</f>
        <v>68</v>
      </c>
      <c r="I6" s="17">
        <f t="shared" ref="I6:I10" si="1">IF(ISNUMBER(C6),H6-C6,"")</f>
        <v>0</v>
      </c>
      <c r="J6" s="17">
        <f t="shared" ref="J6:J10" si="2">IF(ISNUMBER(B6),MAX(0,H6-B6),"")</f>
        <v>24</v>
      </c>
      <c r="K6" s="17">
        <f t="shared" ref="K6:K10" si="3">IF(AND(ISNUMBER(D6),ISNUMBER(J6)),J6-D6,"")</f>
        <v>0</v>
      </c>
      <c r="L6" s="8"/>
      <c r="M6" s="17">
        <f>ROUNDUP(G6/'05_Assumptions'!$B$4,0)</f>
        <v>69</v>
      </c>
      <c r="N6" s="8"/>
    </row>
    <row r="7">
      <c r="A7" s="8" t="s">
        <v>622</v>
      </c>
      <c r="B7" s="8">
        <v>12.0</v>
      </c>
      <c r="C7" s="8">
        <v>37.0</v>
      </c>
      <c r="D7" s="8">
        <v>25.0</v>
      </c>
      <c r="E7" s="8">
        <v>11.0</v>
      </c>
      <c r="F7" s="8">
        <v>721678.0</v>
      </c>
      <c r="G7" s="17">
        <f>'11_Jurisdiction_Rollup'!$E$3</f>
        <v>741428</v>
      </c>
      <c r="H7" s="17">
        <f>ROUND(G7/'05_Assumptions'!$B$4,0)</f>
        <v>37</v>
      </c>
      <c r="I7" s="17">
        <f t="shared" si="1"/>
        <v>0</v>
      </c>
      <c r="J7" s="17">
        <f t="shared" si="2"/>
        <v>25</v>
      </c>
      <c r="K7" s="17">
        <f t="shared" si="3"/>
        <v>0</v>
      </c>
      <c r="L7" s="8"/>
      <c r="M7" s="17">
        <f>ROUNDUP(G7/'05_Assumptions'!$B$4,0)</f>
        <v>38</v>
      </c>
      <c r="N7" s="8"/>
    </row>
    <row r="8">
      <c r="A8" s="8" t="s">
        <v>644</v>
      </c>
      <c r="B8" s="8">
        <v>24.0</v>
      </c>
      <c r="C8" s="8">
        <v>41.0</v>
      </c>
      <c r="D8" s="8">
        <v>17.0</v>
      </c>
      <c r="E8" s="8">
        <v>23.0</v>
      </c>
      <c r="F8" s="8">
        <v>796057.0</v>
      </c>
      <c r="G8" s="17">
        <f>'11_Jurisdiction_Rollup'!$E$4</f>
        <v>813243</v>
      </c>
      <c r="H8" s="17">
        <f>ROUND(G8/'05_Assumptions'!$B$4,0)</f>
        <v>41</v>
      </c>
      <c r="I8" s="17">
        <f t="shared" si="1"/>
        <v>0</v>
      </c>
      <c r="J8" s="17">
        <f t="shared" si="2"/>
        <v>17</v>
      </c>
      <c r="K8" s="17">
        <f t="shared" si="3"/>
        <v>0</v>
      </c>
      <c r="L8" s="8"/>
      <c r="M8" s="17">
        <f>ROUNDUP(G8/'05_Assumptions'!$B$4,0)</f>
        <v>41</v>
      </c>
      <c r="N8" s="8"/>
    </row>
    <row r="9">
      <c r="A9" s="8" t="s">
        <v>668</v>
      </c>
      <c r="B9" s="8">
        <v>9.0</v>
      </c>
      <c r="C9" s="8">
        <v>11.0</v>
      </c>
      <c r="D9" s="8">
        <v>2.0</v>
      </c>
      <c r="E9" s="8">
        <v>5.0</v>
      </c>
      <c r="F9" s="8">
        <v>142833.0</v>
      </c>
      <c r="G9" s="17">
        <f>'11_Jurisdiction_Rollup'!$E$5</f>
        <v>214703</v>
      </c>
      <c r="H9" s="17">
        <f>ROUND(G9/'05_Assumptions'!$B$4,0)</f>
        <v>11</v>
      </c>
      <c r="I9" s="17">
        <f t="shared" si="1"/>
        <v>0</v>
      </c>
      <c r="J9" s="17">
        <f t="shared" si="2"/>
        <v>2</v>
      </c>
      <c r="K9" s="17">
        <f t="shared" si="3"/>
        <v>0</v>
      </c>
      <c r="L9" s="8" t="s">
        <v>1198</v>
      </c>
      <c r="M9" s="17">
        <f>ROUNDUP(G9/'05_Assumptions'!$B$4,0)</f>
        <v>11</v>
      </c>
      <c r="N9" s="8"/>
    </row>
    <row r="10">
      <c r="A10" s="8" t="s">
        <v>696</v>
      </c>
      <c r="B10" s="8">
        <v>89.0</v>
      </c>
      <c r="C10" s="8">
        <v>157.0</v>
      </c>
      <c r="D10" s="8">
        <v>68.0</v>
      </c>
      <c r="E10" s="8">
        <v>70.0</v>
      </c>
      <c r="F10" s="8">
        <v>2891146.0</v>
      </c>
      <c r="G10" s="17">
        <f>'11_Jurisdiction_Rollup'!$E$6</f>
        <v>3137511</v>
      </c>
      <c r="H10" s="17">
        <f>ROUND(G10/'05_Assumptions'!$B$4,0)</f>
        <v>157</v>
      </c>
      <c r="I10" s="17">
        <f t="shared" si="1"/>
        <v>0</v>
      </c>
      <c r="J10" s="17">
        <f t="shared" si="2"/>
        <v>68</v>
      </c>
      <c r="K10" s="17">
        <f t="shared" si="3"/>
        <v>0</v>
      </c>
      <c r="L10" s="8"/>
      <c r="M10" s="17">
        <f>ROUNDUP(G10/'05_Assumptions'!$B$4,0)</f>
        <v>157</v>
      </c>
      <c r="N10" s="8"/>
    </row>
    <row r="11">
      <c r="A11" s="8"/>
      <c r="B11" s="8"/>
      <c r="C11" s="8"/>
      <c r="D11" s="8"/>
      <c r="E11" s="8"/>
      <c r="F11" s="8"/>
      <c r="G11" s="8"/>
      <c r="H11" s="8"/>
      <c r="I11" s="8"/>
      <c r="J11" s="8"/>
      <c r="K11" s="8"/>
      <c r="L11" s="8"/>
      <c r="M11" s="8"/>
      <c r="N11" s="8"/>
    </row>
    <row r="12">
      <c r="A12" s="8"/>
      <c r="B12" s="8"/>
      <c r="C12" s="8"/>
      <c r="D12" s="8"/>
      <c r="E12" s="8"/>
      <c r="F12" s="8"/>
      <c r="G12" s="8"/>
      <c r="H12" s="8"/>
      <c r="I12" s="8"/>
      <c r="J12" s="8"/>
      <c r="K12" s="8"/>
      <c r="L12" s="8"/>
      <c r="M12" s="8"/>
      <c r="N12" s="8"/>
    </row>
    <row r="13">
      <c r="A13" s="39" t="s">
        <v>1205</v>
      </c>
      <c r="B13" s="39"/>
      <c r="C13" s="39"/>
      <c r="D13" s="39"/>
      <c r="E13" s="39"/>
      <c r="F13" s="39"/>
      <c r="G13" s="39"/>
      <c r="H13" s="39"/>
      <c r="I13" s="8"/>
      <c r="J13" s="8"/>
      <c r="K13" s="8"/>
      <c r="L13" s="8"/>
      <c r="M13" s="8"/>
      <c r="N13" s="8"/>
    </row>
    <row r="14">
      <c r="A14" s="39" t="s">
        <v>1210</v>
      </c>
      <c r="B14" s="39"/>
      <c r="C14" s="39"/>
      <c r="D14" s="39"/>
      <c r="E14" s="39"/>
      <c r="F14" s="39"/>
      <c r="G14" s="39"/>
      <c r="H14" s="39"/>
      <c r="I14" s="8"/>
      <c r="J14" s="8"/>
      <c r="K14" s="8"/>
      <c r="L14" s="8"/>
      <c r="M14" s="8"/>
      <c r="N14" s="8"/>
    </row>
    <row r="15">
      <c r="A15" s="40" t="s">
        <v>547</v>
      </c>
      <c r="B15" s="40" t="s">
        <v>715</v>
      </c>
      <c r="C15" s="40" t="s">
        <v>1216</v>
      </c>
      <c r="D15" s="40" t="s">
        <v>255</v>
      </c>
      <c r="E15" s="40" t="s">
        <v>1218</v>
      </c>
      <c r="F15" s="40" t="s">
        <v>1219</v>
      </c>
      <c r="G15" s="40" t="s">
        <v>1221</v>
      </c>
      <c r="H15" s="40" t="s">
        <v>1222</v>
      </c>
      <c r="I15" s="40" t="s">
        <v>1224</v>
      </c>
      <c r="J15" s="8"/>
      <c r="K15" s="8"/>
      <c r="L15" s="8"/>
      <c r="M15" s="8"/>
      <c r="N15" s="8"/>
    </row>
    <row r="16">
      <c r="A16" s="8" t="s">
        <v>526</v>
      </c>
      <c r="B16" s="8">
        <v>1164.0</v>
      </c>
      <c r="C16" s="8">
        <v>128.0</v>
      </c>
      <c r="D16" s="8">
        <v>11.0</v>
      </c>
      <c r="E16" s="30">
        <f t="shared" ref="E16:E19" si="4">IF(AND(ISNUMBER(B16),B16&gt;0,ISNUMBER(C16)),C16/B16,"denominator not numeric in the source")</f>
        <v>0.1099656357</v>
      </c>
      <c r="F16" s="17">
        <f t="shared" ref="F16:F19" si="5">IF(AND(ISNUMBER(B16),ISNUMBER(C16)),B16-C16,"")</f>
        <v>1036</v>
      </c>
      <c r="G16" s="8" t="s">
        <v>1231</v>
      </c>
      <c r="H16" s="8" t="s">
        <v>1232</v>
      </c>
      <c r="I16" s="8" t="s">
        <v>1233</v>
      </c>
      <c r="J16" s="8"/>
      <c r="K16" s="8"/>
      <c r="L16" s="8"/>
      <c r="M16" s="8"/>
      <c r="N16" s="8"/>
    </row>
    <row r="17">
      <c r="A17" s="8" t="s">
        <v>644</v>
      </c>
      <c r="B17" s="8">
        <v>287.0</v>
      </c>
      <c r="C17" s="8">
        <v>155.0</v>
      </c>
      <c r="D17" s="8">
        <v>54.0</v>
      </c>
      <c r="E17" s="30">
        <f t="shared" si="4"/>
        <v>0.5400696864</v>
      </c>
      <c r="F17" s="17">
        <f t="shared" si="5"/>
        <v>132</v>
      </c>
      <c r="G17" s="8"/>
      <c r="H17" s="8" t="s">
        <v>1240</v>
      </c>
      <c r="I17" s="8" t="s">
        <v>1241</v>
      </c>
      <c r="J17" s="8"/>
      <c r="K17" s="8"/>
      <c r="L17" s="8"/>
      <c r="M17" s="8"/>
      <c r="N17" s="8"/>
    </row>
    <row r="18">
      <c r="A18" s="8" t="s">
        <v>622</v>
      </c>
      <c r="B18" s="8">
        <v>221.0</v>
      </c>
      <c r="C18" s="8">
        <v>175.0</v>
      </c>
      <c r="D18" s="8">
        <v>79.2</v>
      </c>
      <c r="E18" s="30">
        <f t="shared" si="4"/>
        <v>0.7918552036</v>
      </c>
      <c r="F18" s="17">
        <f t="shared" si="5"/>
        <v>46</v>
      </c>
      <c r="G18" s="8"/>
      <c r="H18" s="8" t="s">
        <v>1242</v>
      </c>
      <c r="I18" s="8" t="s">
        <v>1243</v>
      </c>
      <c r="J18" s="8"/>
      <c r="K18" s="8"/>
      <c r="L18" s="8"/>
      <c r="M18" s="8"/>
      <c r="N18" s="8"/>
    </row>
    <row r="19">
      <c r="A19" s="8" t="s">
        <v>668</v>
      </c>
      <c r="B19" s="8">
        <v>63.0</v>
      </c>
      <c r="C19" s="8">
        <v>57.0</v>
      </c>
      <c r="D19" s="8">
        <v>90.5</v>
      </c>
      <c r="E19" s="30">
        <f t="shared" si="4"/>
        <v>0.9047619048</v>
      </c>
      <c r="F19" s="17">
        <f t="shared" si="5"/>
        <v>6</v>
      </c>
      <c r="G19" s="8" t="s">
        <v>1245</v>
      </c>
      <c r="H19" s="8" t="s">
        <v>1246</v>
      </c>
      <c r="I19" s="8" t="s">
        <v>1247</v>
      </c>
      <c r="J19" s="8"/>
      <c r="K19" s="8"/>
      <c r="L19" s="8"/>
      <c r="M19" s="8"/>
      <c r="N19" s="8"/>
    </row>
    <row r="20">
      <c r="A20" s="8" t="s">
        <v>1248</v>
      </c>
      <c r="B20" s="8"/>
      <c r="C20" s="8"/>
      <c r="D20" s="8"/>
      <c r="E20" s="8"/>
      <c r="F20" s="8"/>
      <c r="G20" s="8"/>
      <c r="H20" s="8"/>
      <c r="I20" s="8"/>
      <c r="J20" s="8"/>
      <c r="K20" s="8"/>
      <c r="L20" s="8"/>
      <c r="M20" s="8"/>
      <c r="N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7" width="26.0"/>
    <col customWidth="1" min="8" max="26" width="8.71"/>
  </cols>
  <sheetData>
    <row r="1">
      <c r="A1" s="12" t="s">
        <v>1249</v>
      </c>
    </row>
    <row r="2">
      <c r="A2" s="24" t="s">
        <v>1250</v>
      </c>
    </row>
    <row r="4">
      <c r="A4" s="25" t="s">
        <v>1251</v>
      </c>
      <c r="B4" s="26"/>
      <c r="C4" s="26"/>
      <c r="D4" s="26"/>
      <c r="E4" s="26"/>
      <c r="F4" s="26"/>
      <c r="G4" s="26"/>
    </row>
    <row r="5">
      <c r="A5" s="27" t="s">
        <v>1253</v>
      </c>
      <c r="B5" s="26"/>
      <c r="C5" s="26"/>
      <c r="D5" s="26"/>
      <c r="E5" s="26"/>
      <c r="F5" s="26"/>
      <c r="G5" s="26"/>
    </row>
    <row r="6">
      <c r="A6" s="41" t="s">
        <v>1255</v>
      </c>
      <c r="B6" s="41"/>
      <c r="C6" s="41" t="s">
        <v>1256</v>
      </c>
      <c r="D6" s="41"/>
      <c r="E6" s="41" t="s">
        <v>1259</v>
      </c>
      <c r="F6" s="41"/>
      <c r="G6" s="41" t="s">
        <v>1262</v>
      </c>
    </row>
    <row r="9">
      <c r="A9" s="25" t="s">
        <v>1263</v>
      </c>
      <c r="B9" s="26"/>
      <c r="C9" s="26"/>
      <c r="D9" s="26"/>
      <c r="E9" s="26"/>
      <c r="F9" s="26"/>
      <c r="G9" s="26"/>
    </row>
    <row r="10">
      <c r="A10" s="27" t="s">
        <v>1253</v>
      </c>
      <c r="B10" s="26"/>
      <c r="C10" s="26"/>
      <c r="D10" s="26"/>
      <c r="E10" s="26"/>
      <c r="F10" s="26"/>
      <c r="G10" s="26"/>
    </row>
    <row r="11">
      <c r="A11" s="41" t="s">
        <v>1267</v>
      </c>
      <c r="B11" s="41"/>
      <c r="C11" s="41" t="s">
        <v>1268</v>
      </c>
      <c r="D11" s="41"/>
      <c r="E11" s="41" t="s">
        <v>1269</v>
      </c>
      <c r="F11" s="41"/>
      <c r="G11" s="41" t="s">
        <v>1270</v>
      </c>
    </row>
    <row r="14">
      <c r="A14" s="25" t="s">
        <v>1271</v>
      </c>
      <c r="B14" s="26"/>
      <c r="C14" s="26"/>
      <c r="D14" s="26"/>
    </row>
    <row r="15">
      <c r="A15" s="27" t="s">
        <v>1273</v>
      </c>
      <c r="B15" s="26"/>
      <c r="C15" s="26"/>
      <c r="D15" s="26"/>
    </row>
    <row r="16">
      <c r="A16" s="41" t="s">
        <v>1274</v>
      </c>
      <c r="B16" s="41" t="s">
        <v>1275</v>
      </c>
      <c r="C16" s="41" t="s">
        <v>1277</v>
      </c>
      <c r="D16" s="41" t="s">
        <v>1278</v>
      </c>
    </row>
    <row r="17">
      <c r="A17" s="13" t="s">
        <v>1279</v>
      </c>
      <c r="B17" s="13" t="s">
        <v>1280</v>
      </c>
      <c r="C17" s="13" t="s">
        <v>1282</v>
      </c>
      <c r="D17" s="13" t="s">
        <v>1284</v>
      </c>
    </row>
    <row r="18">
      <c r="A18" s="13" t="s">
        <v>1285</v>
      </c>
      <c r="B18" s="13" t="s">
        <v>1286</v>
      </c>
      <c r="C18" s="13" t="s">
        <v>1287</v>
      </c>
      <c r="D18" s="13" t="s">
        <v>1288</v>
      </c>
    </row>
    <row r="19">
      <c r="A19" s="13" t="s">
        <v>1289</v>
      </c>
      <c r="B19" s="13" t="s">
        <v>1290</v>
      </c>
      <c r="C19" s="13" t="s">
        <v>1291</v>
      </c>
      <c r="D19" s="13" t="s">
        <v>1292</v>
      </c>
    </row>
    <row r="20">
      <c r="A20" s="13" t="s">
        <v>1293</v>
      </c>
      <c r="B20" s="13" t="s">
        <v>1295</v>
      </c>
      <c r="C20" s="13" t="s">
        <v>1296</v>
      </c>
      <c r="D20" s="13" t="s">
        <v>1297</v>
      </c>
    </row>
    <row r="21" ht="15.75" customHeight="1">
      <c r="A21" s="13" t="s">
        <v>1298</v>
      </c>
      <c r="B21" s="13" t="s">
        <v>1299</v>
      </c>
      <c r="C21" s="13" t="s">
        <v>1300</v>
      </c>
      <c r="D21" s="13" t="s">
        <v>1302</v>
      </c>
    </row>
    <row r="22" ht="15.75" customHeight="1">
      <c r="A22" s="42" t="s">
        <v>361</v>
      </c>
    </row>
    <row r="23" ht="15.75" customHeight="1"/>
    <row r="24" ht="15.75" customHeight="1"/>
    <row r="25" ht="15.75" customHeight="1">
      <c r="A25" s="25" t="s">
        <v>1304</v>
      </c>
      <c r="B25" s="26"/>
      <c r="C25" s="26"/>
      <c r="D25" s="26"/>
      <c r="E25" s="26"/>
      <c r="F25" s="26"/>
      <c r="G25" s="26"/>
    </row>
    <row r="26" ht="15.75" customHeight="1">
      <c r="A26" s="27" t="s">
        <v>1253</v>
      </c>
      <c r="B26" s="26"/>
      <c r="C26" s="26"/>
      <c r="D26" s="26"/>
      <c r="E26" s="26"/>
      <c r="F26" s="26"/>
      <c r="G26" s="26"/>
    </row>
    <row r="27" ht="15.75" customHeight="1">
      <c r="A27" s="41" t="s">
        <v>1306</v>
      </c>
      <c r="B27" s="41"/>
      <c r="C27" s="41" t="s">
        <v>1307</v>
      </c>
      <c r="D27" s="41"/>
      <c r="E27" s="41" t="s">
        <v>1310</v>
      </c>
      <c r="F27" s="41"/>
      <c r="G27" s="41" t="s">
        <v>1312</v>
      </c>
    </row>
    <row r="28" ht="15.75" customHeight="1"/>
    <row r="29" ht="15.75" customHeight="1"/>
    <row r="30" ht="15.75" customHeight="1">
      <c r="A30" s="25" t="s">
        <v>1314</v>
      </c>
      <c r="B30" s="26"/>
      <c r="C30" s="26"/>
      <c r="D30" s="26"/>
    </row>
    <row r="31" ht="15.75" customHeight="1">
      <c r="A31" s="27" t="s">
        <v>1273</v>
      </c>
      <c r="B31" s="26"/>
      <c r="C31" s="26"/>
      <c r="D31" s="26"/>
    </row>
    <row r="32" ht="15.75" customHeight="1">
      <c r="A32" s="41" t="s">
        <v>1274</v>
      </c>
      <c r="B32" s="41" t="s">
        <v>1275</v>
      </c>
      <c r="C32" s="41" t="s">
        <v>1277</v>
      </c>
      <c r="D32" s="41" t="s">
        <v>1278</v>
      </c>
    </row>
    <row r="33" ht="15.75" customHeight="1">
      <c r="A33" s="13" t="s">
        <v>1279</v>
      </c>
      <c r="B33" s="13" t="s">
        <v>1280</v>
      </c>
      <c r="C33" s="13" t="s">
        <v>1331</v>
      </c>
      <c r="D33" s="13" t="s">
        <v>1333</v>
      </c>
    </row>
    <row r="34" ht="15.75" customHeight="1">
      <c r="A34" s="13" t="s">
        <v>1285</v>
      </c>
      <c r="B34" s="13" t="s">
        <v>1337</v>
      </c>
      <c r="C34" s="13" t="s">
        <v>1339</v>
      </c>
      <c r="D34" s="13" t="s">
        <v>1341</v>
      </c>
    </row>
    <row r="35" ht="15.75" customHeight="1">
      <c r="A35" s="13" t="s">
        <v>1289</v>
      </c>
      <c r="B35" s="13" t="s">
        <v>1344</v>
      </c>
      <c r="C35" s="13" t="s">
        <v>1347</v>
      </c>
      <c r="D35" s="13" t="s">
        <v>1348</v>
      </c>
    </row>
    <row r="36" ht="15.75" customHeight="1">
      <c r="A36" s="13" t="s">
        <v>1293</v>
      </c>
      <c r="B36" s="13" t="s">
        <v>1349</v>
      </c>
      <c r="C36" s="13" t="s">
        <v>1351</v>
      </c>
      <c r="D36" s="13" t="s">
        <v>1352</v>
      </c>
    </row>
    <row r="37" ht="15.75" customHeight="1">
      <c r="A37" s="13" t="s">
        <v>1298</v>
      </c>
      <c r="B37" s="13" t="s">
        <v>1353</v>
      </c>
      <c r="C37" s="13" t="s">
        <v>1356</v>
      </c>
      <c r="D37" s="13" t="s">
        <v>1357</v>
      </c>
    </row>
    <row r="38" ht="15.75" customHeight="1">
      <c r="A38" s="42" t="s">
        <v>637</v>
      </c>
    </row>
    <row r="39" ht="15.75" customHeight="1"/>
    <row r="40" ht="15.75" customHeight="1"/>
    <row r="41" ht="15.75" customHeight="1">
      <c r="A41" s="25" t="s">
        <v>1363</v>
      </c>
      <c r="B41" s="26"/>
      <c r="C41" s="26"/>
      <c r="D41" s="26"/>
    </row>
    <row r="42" ht="15.75" customHeight="1">
      <c r="A42" s="27" t="s">
        <v>1253</v>
      </c>
      <c r="B42" s="26"/>
      <c r="C42" s="26"/>
      <c r="D42" s="26"/>
    </row>
    <row r="43" ht="15.75" customHeight="1">
      <c r="A43" s="41" t="s">
        <v>1366</v>
      </c>
      <c r="B43" s="41" t="s">
        <v>1367</v>
      </c>
      <c r="C43" s="41" t="s">
        <v>1369</v>
      </c>
      <c r="D43" s="41" t="s">
        <v>1371</v>
      </c>
    </row>
    <row r="44" ht="15.75" customHeight="1"/>
    <row r="45" ht="15.75" customHeight="1"/>
    <row r="46" ht="15.75" customHeight="1">
      <c r="A46" s="25" t="s">
        <v>1373</v>
      </c>
      <c r="B46" s="26"/>
      <c r="C46" s="26"/>
      <c r="D46" s="26"/>
    </row>
    <row r="47" ht="15.75" customHeight="1">
      <c r="A47" s="27" t="s">
        <v>1375</v>
      </c>
      <c r="B47" s="26"/>
      <c r="C47" s="26"/>
      <c r="D47" s="26"/>
    </row>
    <row r="48" ht="15.75" customHeight="1">
      <c r="A48" s="41" t="s">
        <v>1274</v>
      </c>
      <c r="B48" s="41" t="s">
        <v>1275</v>
      </c>
      <c r="C48" s="41" t="s">
        <v>1277</v>
      </c>
      <c r="D48" s="41" t="s">
        <v>1379</v>
      </c>
    </row>
    <row r="49" ht="15.75" customHeight="1">
      <c r="A49" s="13" t="s">
        <v>1381</v>
      </c>
      <c r="B49" s="13" t="s">
        <v>1280</v>
      </c>
      <c r="C49" s="13" t="s">
        <v>1382</v>
      </c>
      <c r="D49" s="13" t="s">
        <v>1384</v>
      </c>
    </row>
    <row r="50" ht="15.75" customHeight="1">
      <c r="A50" s="13" t="s">
        <v>1385</v>
      </c>
      <c r="B50" s="13" t="s">
        <v>1286</v>
      </c>
      <c r="C50" s="13" t="s">
        <v>1388</v>
      </c>
      <c r="D50" s="13" t="s">
        <v>1390</v>
      </c>
    </row>
    <row r="51" ht="15.75" customHeight="1">
      <c r="A51" s="13" t="s">
        <v>1393</v>
      </c>
      <c r="B51" s="13" t="s">
        <v>1290</v>
      </c>
      <c r="C51" s="13" t="s">
        <v>1396</v>
      </c>
      <c r="D51" s="13" t="s">
        <v>1398</v>
      </c>
    </row>
    <row r="52" ht="15.75" customHeight="1">
      <c r="A52" s="13" t="s">
        <v>1401</v>
      </c>
      <c r="B52" s="13" t="s">
        <v>1295</v>
      </c>
      <c r="C52" s="13" t="s">
        <v>1404</v>
      </c>
      <c r="D52" s="13" t="s">
        <v>1406</v>
      </c>
    </row>
    <row r="53" ht="15.75" customHeight="1">
      <c r="A53" s="13" t="s">
        <v>1408</v>
      </c>
      <c r="B53" s="13" t="s">
        <v>1299</v>
      </c>
      <c r="C53" s="13" t="s">
        <v>1411</v>
      </c>
      <c r="D53" s="13" t="s">
        <v>1412</v>
      </c>
    </row>
    <row r="54" ht="15.75" customHeight="1">
      <c r="A54" s="42" t="s">
        <v>849</v>
      </c>
    </row>
    <row r="55" ht="15.75" customHeight="1"/>
    <row r="56" ht="15.75" customHeight="1"/>
    <row r="57" ht="15.75" customHeight="1">
      <c r="A57" s="25" t="s">
        <v>1415</v>
      </c>
      <c r="B57" s="26"/>
      <c r="C57" s="26"/>
      <c r="D57" s="26"/>
    </row>
    <row r="58" ht="15.75" customHeight="1">
      <c r="A58" s="27" t="s">
        <v>1420</v>
      </c>
      <c r="B58" s="26"/>
      <c r="C58" s="26"/>
      <c r="D58" s="26"/>
    </row>
    <row r="59" ht="15.75" customHeight="1">
      <c r="A59" s="44">
        <v>214703.0</v>
      </c>
      <c r="B59" s="44">
        <v>63.0</v>
      </c>
      <c r="C59" s="44">
        <v>66.0</v>
      </c>
      <c r="D59" s="44">
        <v>0.0</v>
      </c>
    </row>
    <row r="60" ht="15.75" customHeight="1">
      <c r="A60" s="13" t="s">
        <v>1429</v>
      </c>
      <c r="B60" s="13" t="s">
        <v>1430</v>
      </c>
      <c r="C60" s="13" t="s">
        <v>1432</v>
      </c>
      <c r="D60" s="13" t="s">
        <v>1433</v>
      </c>
    </row>
    <row r="61" ht="15.75" customHeight="1">
      <c r="A61" s="43">
        <v>0.0</v>
      </c>
      <c r="B61" s="43">
        <v>4.0</v>
      </c>
      <c r="C61" s="43">
        <v>6.0</v>
      </c>
      <c r="D61" s="43">
        <v>3.0</v>
      </c>
    </row>
    <row r="62" ht="15.75" customHeight="1">
      <c r="A62" s="13" t="s">
        <v>1435</v>
      </c>
      <c r="B62" s="13" t="s">
        <v>1436</v>
      </c>
      <c r="C62" s="13" t="s">
        <v>1438</v>
      </c>
      <c r="D62" s="13" t="s">
        <v>1440</v>
      </c>
    </row>
    <row r="63" ht="15.75" customHeight="1"/>
    <row r="64" ht="15.75" customHeight="1"/>
    <row r="65" ht="15.75" customHeight="1">
      <c r="A65" s="25" t="s">
        <v>1441</v>
      </c>
      <c r="B65" s="26"/>
      <c r="C65" s="26"/>
      <c r="D65" s="26"/>
    </row>
    <row r="66" ht="15.75" customHeight="1">
      <c r="A66" s="27" t="s">
        <v>1273</v>
      </c>
      <c r="B66" s="26"/>
      <c r="C66" s="26"/>
      <c r="D66" s="26"/>
    </row>
    <row r="67" ht="15.75" customHeight="1">
      <c r="A67" s="41" t="s">
        <v>1274</v>
      </c>
      <c r="B67" s="41" t="s">
        <v>1275</v>
      </c>
      <c r="C67" s="41" t="s">
        <v>1277</v>
      </c>
      <c r="D67" s="41" t="s">
        <v>1278</v>
      </c>
    </row>
    <row r="68" ht="15.75" customHeight="1">
      <c r="A68" s="13" t="s">
        <v>1445</v>
      </c>
      <c r="B68" s="13" t="s">
        <v>1280</v>
      </c>
      <c r="C68" s="13" t="s">
        <v>1446</v>
      </c>
      <c r="D68" s="13" t="s">
        <v>1448</v>
      </c>
    </row>
    <row r="69" ht="15.75" customHeight="1">
      <c r="A69" s="13" t="s">
        <v>1450</v>
      </c>
      <c r="B69" s="13" t="s">
        <v>1286</v>
      </c>
      <c r="C69" s="13" t="s">
        <v>1451</v>
      </c>
      <c r="D69" s="13" t="s">
        <v>1452</v>
      </c>
    </row>
    <row r="70" ht="15.75" customHeight="1">
      <c r="A70" s="13" t="s">
        <v>1454</v>
      </c>
      <c r="B70" s="13" t="s">
        <v>1290</v>
      </c>
      <c r="C70" s="13" t="s">
        <v>1455</v>
      </c>
      <c r="D70" s="13" t="s">
        <v>1456</v>
      </c>
    </row>
    <row r="71" ht="15.75" customHeight="1">
      <c r="A71" s="13" t="s">
        <v>1458</v>
      </c>
      <c r="B71" s="13" t="s">
        <v>1295</v>
      </c>
      <c r="C71" s="13" t="s">
        <v>1459</v>
      </c>
      <c r="D71" s="13" t="s">
        <v>1460</v>
      </c>
    </row>
    <row r="72" ht="15.75" customHeight="1">
      <c r="A72" s="13" t="s">
        <v>1461</v>
      </c>
      <c r="B72" s="13" t="s">
        <v>1299</v>
      </c>
      <c r="C72" s="13" t="s">
        <v>1465</v>
      </c>
      <c r="D72" s="13" t="s">
        <v>1468</v>
      </c>
    </row>
    <row r="73" ht="15.75" customHeight="1">
      <c r="A73" s="42" t="s">
        <v>953</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12" width="26.0"/>
    <col customWidth="1" min="13" max="26" width="8.71"/>
  </cols>
  <sheetData>
    <row r="1">
      <c r="A1" s="12" t="s">
        <v>1308</v>
      </c>
    </row>
    <row r="2">
      <c r="A2" s="24" t="s">
        <v>1309</v>
      </c>
    </row>
    <row r="4">
      <c r="A4" s="25" t="s">
        <v>1311</v>
      </c>
      <c r="B4" s="26"/>
      <c r="C4" s="26"/>
      <c r="D4" s="26"/>
    </row>
    <row r="5">
      <c r="A5" s="27" t="s">
        <v>1315</v>
      </c>
      <c r="B5" s="26"/>
      <c r="C5" s="26"/>
      <c r="D5" s="26"/>
    </row>
    <row r="6">
      <c r="A6" s="41" t="s">
        <v>547</v>
      </c>
      <c r="B6" s="41" t="s">
        <v>1316</v>
      </c>
      <c r="C6" s="41" t="s">
        <v>1317</v>
      </c>
      <c r="D6" s="41" t="s">
        <v>1318</v>
      </c>
    </row>
    <row r="7">
      <c r="A7" s="13" t="s">
        <v>1319</v>
      </c>
      <c r="B7" s="13" t="s">
        <v>1320</v>
      </c>
      <c r="C7" s="13" t="s">
        <v>1321</v>
      </c>
      <c r="D7" s="13" t="s">
        <v>1322</v>
      </c>
    </row>
    <row r="8">
      <c r="A8" s="13" t="s">
        <v>1323</v>
      </c>
      <c r="B8" s="13" t="s">
        <v>1324</v>
      </c>
      <c r="C8" s="13" t="s">
        <v>1325</v>
      </c>
      <c r="D8" s="13" t="s">
        <v>1326</v>
      </c>
    </row>
    <row r="9">
      <c r="A9" s="13" t="s">
        <v>1327</v>
      </c>
      <c r="B9" s="13" t="s">
        <v>1328</v>
      </c>
      <c r="C9" s="13" t="s">
        <v>1329</v>
      </c>
      <c r="D9" s="13" t="s">
        <v>1330</v>
      </c>
    </row>
    <row r="10">
      <c r="A10" s="13" t="s">
        <v>1332</v>
      </c>
      <c r="B10" s="13" t="s">
        <v>1334</v>
      </c>
      <c r="C10" s="13" t="s">
        <v>1335</v>
      </c>
      <c r="D10" s="13" t="s">
        <v>1336</v>
      </c>
    </row>
    <row r="11">
      <c r="A11" s="13" t="s">
        <v>1338</v>
      </c>
      <c r="B11" s="13" t="s">
        <v>1340</v>
      </c>
      <c r="C11" s="13" t="s">
        <v>1342</v>
      </c>
      <c r="D11" s="13" t="s">
        <v>1343</v>
      </c>
    </row>
    <row r="14">
      <c r="A14" s="25" t="s">
        <v>1345</v>
      </c>
      <c r="B14" s="26"/>
      <c r="C14" s="26"/>
      <c r="D14" s="26"/>
      <c r="E14" s="26"/>
      <c r="F14" s="26"/>
    </row>
    <row r="15">
      <c r="A15" s="27" t="s">
        <v>1350</v>
      </c>
      <c r="B15" s="26"/>
      <c r="C15" s="26"/>
      <c r="D15" s="26"/>
      <c r="E15" s="26"/>
      <c r="F15" s="26"/>
    </row>
    <row r="16">
      <c r="A16" s="41" t="s">
        <v>1354</v>
      </c>
      <c r="B16" s="41" t="s">
        <v>1355</v>
      </c>
      <c r="C16" s="41" t="s">
        <v>715</v>
      </c>
      <c r="D16" s="41" t="s">
        <v>464</v>
      </c>
      <c r="E16" s="41" t="s">
        <v>1360</v>
      </c>
      <c r="F16" s="41" t="s">
        <v>1361</v>
      </c>
    </row>
    <row r="17">
      <c r="A17" s="13" t="s">
        <v>1362</v>
      </c>
      <c r="B17" s="43">
        <v>40.0</v>
      </c>
      <c r="C17" s="13" t="s">
        <v>735</v>
      </c>
      <c r="D17" s="43">
        <v>1368137.0</v>
      </c>
      <c r="E17" s="13" t="s">
        <v>1364</v>
      </c>
      <c r="F17" s="43">
        <v>27.0</v>
      </c>
    </row>
    <row r="18">
      <c r="A18" s="13" t="s">
        <v>1365</v>
      </c>
      <c r="B18" s="43">
        <v>12.0</v>
      </c>
      <c r="C18" s="43">
        <v>221.0</v>
      </c>
      <c r="D18" s="43">
        <v>741428.0</v>
      </c>
      <c r="E18" s="13" t="s">
        <v>1370</v>
      </c>
      <c r="F18" s="43">
        <v>29.0</v>
      </c>
    </row>
    <row r="19">
      <c r="A19" s="13" t="s">
        <v>1372</v>
      </c>
      <c r="B19" s="43">
        <v>24.0</v>
      </c>
      <c r="C19" s="43">
        <v>287.0</v>
      </c>
      <c r="D19" s="43">
        <v>813243.0</v>
      </c>
      <c r="E19" s="13" t="s">
        <v>1374</v>
      </c>
      <c r="F19" s="43">
        <v>25.0</v>
      </c>
    </row>
    <row r="20">
      <c r="A20" s="13" t="s">
        <v>1376</v>
      </c>
      <c r="B20" s="43">
        <v>8.0</v>
      </c>
      <c r="C20" s="43">
        <v>63.0</v>
      </c>
      <c r="D20" s="43">
        <v>214703.0</v>
      </c>
      <c r="E20" s="13" t="s">
        <v>1377</v>
      </c>
      <c r="F20" s="43">
        <v>11.0</v>
      </c>
    </row>
    <row r="21" ht="15.75" customHeight="1">
      <c r="A21" s="13" t="s">
        <v>696</v>
      </c>
      <c r="B21" s="43">
        <v>84.0</v>
      </c>
      <c r="C21" s="43">
        <v>1735.0</v>
      </c>
      <c r="D21" s="43">
        <v>3137511.0</v>
      </c>
      <c r="E21" s="13" t="s">
        <v>1378</v>
      </c>
      <c r="F21" s="43">
        <v>92.0</v>
      </c>
    </row>
    <row r="22" ht="15.75" customHeight="1"/>
    <row r="23" ht="15.75" customHeight="1"/>
    <row r="24" ht="15.75" customHeight="1">
      <c r="A24" s="25" t="s">
        <v>1380</v>
      </c>
      <c r="B24" s="26"/>
      <c r="C24" s="26"/>
      <c r="D24" s="26"/>
      <c r="E24" s="26"/>
    </row>
    <row r="25" ht="15.75" customHeight="1">
      <c r="A25" s="27" t="s">
        <v>1383</v>
      </c>
      <c r="B25" s="26"/>
      <c r="C25" s="26"/>
      <c r="D25" s="26"/>
      <c r="E25" s="26"/>
    </row>
    <row r="26" ht="15.75" customHeight="1">
      <c r="A26" s="41" t="s">
        <v>1387</v>
      </c>
      <c r="B26" s="41" t="s">
        <v>1389</v>
      </c>
      <c r="C26" s="41" t="s">
        <v>1391</v>
      </c>
      <c r="D26" s="41" t="s">
        <v>1392</v>
      </c>
      <c r="E26" s="41" t="s">
        <v>1394</v>
      </c>
    </row>
    <row r="27" ht="15.75" customHeight="1">
      <c r="A27" s="13" t="s">
        <v>1395</v>
      </c>
      <c r="B27" s="13" t="s">
        <v>1397</v>
      </c>
      <c r="C27" s="13" t="s">
        <v>1399</v>
      </c>
      <c r="D27" s="13" t="s">
        <v>1400</v>
      </c>
      <c r="E27" s="13" t="s">
        <v>1402</v>
      </c>
    </row>
    <row r="28" ht="15.75" customHeight="1">
      <c r="A28" s="13" t="s">
        <v>1403</v>
      </c>
      <c r="B28" s="13" t="s">
        <v>1405</v>
      </c>
      <c r="C28" s="13" t="s">
        <v>1407</v>
      </c>
      <c r="D28" s="13" t="s">
        <v>1409</v>
      </c>
      <c r="E28" s="13" t="s">
        <v>1410</v>
      </c>
    </row>
    <row r="29" ht="15.75" customHeight="1">
      <c r="A29" s="13" t="s">
        <v>1413</v>
      </c>
      <c r="B29" s="13" t="s">
        <v>1146</v>
      </c>
      <c r="C29" s="13" t="s">
        <v>1414</v>
      </c>
      <c r="D29" s="13" t="s">
        <v>1416</v>
      </c>
      <c r="E29" s="13" t="s">
        <v>1417</v>
      </c>
    </row>
    <row r="30" ht="15.75" customHeight="1">
      <c r="A30" s="13" t="s">
        <v>1418</v>
      </c>
      <c r="B30" s="13" t="s">
        <v>1419</v>
      </c>
      <c r="C30" s="13" t="s">
        <v>1421</v>
      </c>
      <c r="D30" s="13" t="s">
        <v>1422</v>
      </c>
      <c r="E30" s="13" t="s">
        <v>1423</v>
      </c>
    </row>
    <row r="31" ht="15.75" customHeight="1">
      <c r="A31" s="13" t="s">
        <v>1424</v>
      </c>
      <c r="B31" s="13" t="s">
        <v>1425</v>
      </c>
      <c r="C31" s="43">
        <v>2026.0</v>
      </c>
      <c r="D31" s="13" t="s">
        <v>1426</v>
      </c>
      <c r="E31" s="13" t="s">
        <v>1427</v>
      </c>
    </row>
    <row r="32" ht="15.75" customHeight="1"/>
    <row r="33" ht="15.75" customHeight="1"/>
    <row r="34" ht="15.75" customHeight="1">
      <c r="A34" s="25" t="s">
        <v>1428</v>
      </c>
      <c r="B34" s="26"/>
      <c r="C34" s="26"/>
      <c r="D34" s="26"/>
      <c r="E34" s="26"/>
      <c r="F34" s="26"/>
    </row>
    <row r="35" ht="15.75" customHeight="1">
      <c r="A35" s="27" t="s">
        <v>1431</v>
      </c>
      <c r="B35" s="26"/>
      <c r="C35" s="26"/>
      <c r="D35" s="26"/>
      <c r="E35" s="26"/>
      <c r="F35" s="26"/>
    </row>
    <row r="36" ht="15.75" customHeight="1">
      <c r="A36" s="41" t="s">
        <v>1434</v>
      </c>
      <c r="B36" s="41" t="s">
        <v>526</v>
      </c>
      <c r="C36" s="41" t="s">
        <v>1015</v>
      </c>
      <c r="D36" s="41" t="s">
        <v>1016</v>
      </c>
      <c r="E36" s="41" t="s">
        <v>668</v>
      </c>
      <c r="F36" s="41" t="s">
        <v>1437</v>
      </c>
    </row>
    <row r="37" ht="15.75" customHeight="1">
      <c r="A37" s="13" t="s">
        <v>1439</v>
      </c>
      <c r="B37" s="43">
        <v>40.0</v>
      </c>
      <c r="C37" s="43">
        <v>12.0</v>
      </c>
      <c r="D37" s="43">
        <v>24.0</v>
      </c>
      <c r="E37" s="43">
        <v>8.0</v>
      </c>
      <c r="F37" s="43">
        <v>84.0</v>
      </c>
    </row>
    <row r="38" ht="15.75" customHeight="1">
      <c r="A38" s="13" t="s">
        <v>1442</v>
      </c>
      <c r="B38" s="43">
        <v>1368137.0</v>
      </c>
      <c r="C38" s="43">
        <v>741428.0</v>
      </c>
      <c r="D38" s="43">
        <v>813243.0</v>
      </c>
      <c r="E38" s="43">
        <v>214703.0</v>
      </c>
      <c r="F38" s="43">
        <v>3137511.0</v>
      </c>
    </row>
    <row r="39" ht="15.75" customHeight="1">
      <c r="A39" s="13" t="s">
        <v>715</v>
      </c>
      <c r="B39" s="13" t="s">
        <v>735</v>
      </c>
      <c r="C39" s="43">
        <v>221.0</v>
      </c>
      <c r="D39" s="43">
        <v>287.0</v>
      </c>
      <c r="E39" s="43">
        <v>63.0</v>
      </c>
      <c r="F39" s="43">
        <v>1735.0</v>
      </c>
    </row>
    <row r="40" ht="15.75" customHeight="1">
      <c r="A40" s="13" t="s">
        <v>1444</v>
      </c>
      <c r="B40" s="43">
        <v>128.0</v>
      </c>
      <c r="C40" s="43">
        <v>175.0</v>
      </c>
      <c r="D40" s="43">
        <v>155.0</v>
      </c>
      <c r="E40" s="43">
        <v>57.0</v>
      </c>
      <c r="F40" s="13" t="s">
        <v>1447</v>
      </c>
    </row>
    <row r="41" ht="15.75" customHeight="1">
      <c r="A41" s="13" t="s">
        <v>1449</v>
      </c>
      <c r="B41" s="43">
        <v>242.0</v>
      </c>
      <c r="C41" s="43">
        <v>224.0</v>
      </c>
      <c r="D41" s="43">
        <v>222.0</v>
      </c>
      <c r="E41" s="43">
        <v>68.0</v>
      </c>
      <c r="F41" s="43">
        <v>756.0</v>
      </c>
    </row>
    <row r="42" ht="15.75" customHeight="1">
      <c r="A42" s="13" t="s">
        <v>1453</v>
      </c>
      <c r="B42" s="13" t="s">
        <v>736</v>
      </c>
      <c r="C42" s="13" t="s">
        <v>743</v>
      </c>
      <c r="D42" s="13" t="s">
        <v>747</v>
      </c>
      <c r="E42" s="13" t="s">
        <v>751</v>
      </c>
      <c r="F42" s="13" t="s">
        <v>759</v>
      </c>
    </row>
    <row r="43" ht="15.75" customHeight="1">
      <c r="A43" s="13" t="s">
        <v>1457</v>
      </c>
      <c r="B43" s="13" t="s">
        <v>737</v>
      </c>
      <c r="C43" s="13" t="s">
        <v>744</v>
      </c>
      <c r="D43" s="13" t="s">
        <v>748</v>
      </c>
      <c r="E43" s="13" t="s">
        <v>753</v>
      </c>
      <c r="F43" s="13" t="s">
        <v>760</v>
      </c>
    </row>
    <row r="44" ht="15.75" customHeight="1">
      <c r="A44" s="13" t="s">
        <v>1462</v>
      </c>
      <c r="B44" s="13" t="s">
        <v>1463</v>
      </c>
      <c r="C44" s="13" t="s">
        <v>1464</v>
      </c>
      <c r="D44" s="13" t="s">
        <v>1466</v>
      </c>
      <c r="E44" s="13" t="s">
        <v>1467</v>
      </c>
      <c r="F44" s="13" t="s">
        <v>1469</v>
      </c>
    </row>
    <row r="45" ht="15.75" customHeight="1">
      <c r="A45" s="13" t="s">
        <v>1470</v>
      </c>
      <c r="B45" s="43">
        <v>86.0</v>
      </c>
      <c r="C45" s="43">
        <v>52.0</v>
      </c>
      <c r="D45" s="43">
        <v>91.0</v>
      </c>
      <c r="E45" s="43">
        <v>0.0</v>
      </c>
      <c r="F45" s="43">
        <v>229.0</v>
      </c>
    </row>
    <row r="46" ht="15.75" customHeight="1">
      <c r="A46" s="13" t="s">
        <v>1471</v>
      </c>
      <c r="B46" s="43">
        <v>2.1</v>
      </c>
      <c r="C46" s="13" t="s">
        <v>1472</v>
      </c>
      <c r="D46" s="13" t="s">
        <v>1472</v>
      </c>
      <c r="E46" s="13" t="s">
        <v>1028</v>
      </c>
      <c r="F46" s="13" t="s">
        <v>1473</v>
      </c>
    </row>
    <row r="47" ht="15.75" customHeight="1">
      <c r="A47" s="13" t="s">
        <v>1474</v>
      </c>
      <c r="B47" s="43">
        <v>4.34</v>
      </c>
      <c r="C47" s="43">
        <v>2.47</v>
      </c>
      <c r="D47" s="43">
        <v>3.96</v>
      </c>
      <c r="E47" s="13" t="s">
        <v>1475</v>
      </c>
      <c r="F47" s="13" t="s">
        <v>344</v>
      </c>
    </row>
    <row r="48" ht="15.75" customHeight="1">
      <c r="A48" s="13" t="s">
        <v>1476</v>
      </c>
      <c r="B48" s="43">
        <v>80.4</v>
      </c>
      <c r="C48" s="43">
        <v>60.1</v>
      </c>
      <c r="D48" s="43">
        <v>58.1</v>
      </c>
      <c r="E48" s="13" t="s">
        <v>1475</v>
      </c>
      <c r="F48" s="13" t="s">
        <v>1477</v>
      </c>
    </row>
    <row r="49" ht="15.75" customHeight="1">
      <c r="A49" s="13" t="s">
        <v>1479</v>
      </c>
      <c r="B49" s="43">
        <v>25.7</v>
      </c>
      <c r="C49" s="43">
        <v>27.7</v>
      </c>
      <c r="D49" s="43">
        <v>26.3</v>
      </c>
      <c r="E49" s="13" t="s">
        <v>1475</v>
      </c>
      <c r="F49" s="13" t="s">
        <v>1480</v>
      </c>
    </row>
    <row r="50" ht="15.75" customHeight="1">
      <c r="A50" s="13" t="s">
        <v>1481</v>
      </c>
      <c r="B50" s="43">
        <v>30.46</v>
      </c>
      <c r="C50" s="43">
        <v>34.09</v>
      </c>
      <c r="D50" s="43">
        <v>32.16</v>
      </c>
      <c r="E50" s="43">
        <v>11.25</v>
      </c>
      <c r="F50" s="13" t="s">
        <v>1482</v>
      </c>
    </row>
    <row r="51" ht="15.75" customHeight="1">
      <c r="A51" s="13" t="s">
        <v>1483</v>
      </c>
      <c r="B51" s="13" t="s">
        <v>1485</v>
      </c>
      <c r="C51" s="13" t="s">
        <v>1486</v>
      </c>
      <c r="D51" s="13" t="s">
        <v>1488</v>
      </c>
      <c r="E51" s="13" t="s">
        <v>1486</v>
      </c>
      <c r="F51" s="13" t="s">
        <v>1490</v>
      </c>
    </row>
    <row r="52" ht="15.75" customHeight="1">
      <c r="A52" s="13" t="s">
        <v>1491</v>
      </c>
      <c r="B52" s="13" t="s">
        <v>1492</v>
      </c>
      <c r="C52" s="13" t="s">
        <v>1493</v>
      </c>
      <c r="D52" s="13" t="s">
        <v>1494</v>
      </c>
      <c r="E52" s="13" t="s">
        <v>1495</v>
      </c>
      <c r="F52" s="43">
        <v>0.0</v>
      </c>
    </row>
    <row r="53" ht="15.75" customHeight="1"/>
    <row r="54" ht="15.75" customHeight="1"/>
    <row r="55" ht="15.75" customHeight="1">
      <c r="A55" s="25" t="s">
        <v>1497</v>
      </c>
      <c r="B55" s="26"/>
      <c r="C55" s="26"/>
      <c r="D55" s="26"/>
    </row>
    <row r="56" ht="15.75" customHeight="1">
      <c r="A56" s="27" t="s">
        <v>1500</v>
      </c>
      <c r="B56" s="26"/>
      <c r="C56" s="26"/>
      <c r="D56" s="26"/>
    </row>
    <row r="57" ht="15.75" customHeight="1">
      <c r="A57" s="41" t="s">
        <v>1503</v>
      </c>
      <c r="B57" s="41" t="s">
        <v>1504</v>
      </c>
      <c r="C57" s="41" t="s">
        <v>1506</v>
      </c>
      <c r="D57" s="41" t="s">
        <v>1508</v>
      </c>
    </row>
    <row r="58" ht="15.75" customHeight="1">
      <c r="A58" s="13" t="s">
        <v>1509</v>
      </c>
      <c r="B58" s="13" t="s">
        <v>1511</v>
      </c>
      <c r="C58" s="13" t="s">
        <v>1513</v>
      </c>
      <c r="D58" s="13" t="s">
        <v>1515</v>
      </c>
    </row>
    <row r="59" ht="15.75" customHeight="1">
      <c r="A59" s="13" t="s">
        <v>1517</v>
      </c>
      <c r="B59" s="13" t="s">
        <v>1518</v>
      </c>
      <c r="C59" s="13" t="s">
        <v>1520</v>
      </c>
      <c r="D59" s="13" t="s">
        <v>1522</v>
      </c>
    </row>
    <row r="60" ht="15.75" customHeight="1">
      <c r="A60" s="13" t="s">
        <v>1524</v>
      </c>
      <c r="B60" s="13" t="s">
        <v>1525</v>
      </c>
      <c r="C60" s="13" t="s">
        <v>1513</v>
      </c>
      <c r="D60" s="13" t="s">
        <v>1528</v>
      </c>
    </row>
    <row r="61" ht="15.75" customHeight="1">
      <c r="A61" s="13" t="s">
        <v>1530</v>
      </c>
      <c r="B61" s="13" t="s">
        <v>1532</v>
      </c>
      <c r="C61" s="13" t="s">
        <v>1520</v>
      </c>
      <c r="D61" s="13" t="s">
        <v>1534</v>
      </c>
    </row>
    <row r="62" ht="15.75" customHeight="1">
      <c r="A62" s="13" t="s">
        <v>1536</v>
      </c>
      <c r="B62" s="13" t="s">
        <v>1537</v>
      </c>
      <c r="C62" s="13" t="s">
        <v>184</v>
      </c>
      <c r="D62" s="13" t="s">
        <v>1538</v>
      </c>
    </row>
    <row r="63" ht="15.75" customHeight="1">
      <c r="A63" s="13" t="s">
        <v>1539</v>
      </c>
      <c r="B63" s="13" t="s">
        <v>1540</v>
      </c>
      <c r="C63" s="13" t="s">
        <v>1541</v>
      </c>
      <c r="D63" s="13" t="s">
        <v>1542</v>
      </c>
    </row>
    <row r="64" ht="15.75" customHeight="1">
      <c r="A64" s="13" t="s">
        <v>1543</v>
      </c>
      <c r="B64" s="13" t="s">
        <v>1544</v>
      </c>
      <c r="C64" s="13" t="s">
        <v>1513</v>
      </c>
      <c r="D64" s="13" t="s">
        <v>1545</v>
      </c>
    </row>
    <row r="65" ht="15.75" customHeight="1"/>
    <row r="66" ht="15.75" customHeight="1"/>
    <row r="67" ht="15.75" customHeight="1">
      <c r="A67" s="25" t="s">
        <v>1546</v>
      </c>
      <c r="B67" s="26"/>
      <c r="C67" s="26"/>
      <c r="D67" s="26"/>
    </row>
    <row r="68" ht="15.75" customHeight="1">
      <c r="A68" s="27" t="s">
        <v>1547</v>
      </c>
      <c r="B68" s="26"/>
      <c r="C68" s="26"/>
      <c r="D68" s="26"/>
    </row>
    <row r="69" ht="15.75" customHeight="1">
      <c r="A69" s="41" t="s">
        <v>1548</v>
      </c>
      <c r="B69" s="41" t="s">
        <v>1549</v>
      </c>
      <c r="C69" s="41" t="s">
        <v>1550</v>
      </c>
      <c r="D69" s="41" t="s">
        <v>1552</v>
      </c>
    </row>
    <row r="70" ht="15.75" customHeight="1">
      <c r="A70" s="13" t="s">
        <v>1554</v>
      </c>
      <c r="B70" s="13" t="s">
        <v>1556</v>
      </c>
      <c r="C70" s="43">
        <v>2.0</v>
      </c>
      <c r="D70" s="43">
        <v>88.0</v>
      </c>
    </row>
    <row r="71" ht="15.75" customHeight="1">
      <c r="A71" s="13" t="s">
        <v>1558</v>
      </c>
      <c r="B71" s="13" t="s">
        <v>1556</v>
      </c>
      <c r="C71" s="43">
        <v>2.0</v>
      </c>
      <c r="D71" s="43">
        <v>88.0</v>
      </c>
    </row>
    <row r="72" ht="15.75" customHeight="1">
      <c r="A72" s="13" t="s">
        <v>1561</v>
      </c>
      <c r="B72" s="13" t="s">
        <v>1562</v>
      </c>
      <c r="C72" s="43">
        <v>1.0</v>
      </c>
      <c r="D72" s="43">
        <v>94.0</v>
      </c>
    </row>
    <row r="73" ht="15.75" customHeight="1">
      <c r="A73" s="13" t="s">
        <v>1563</v>
      </c>
      <c r="B73" s="13" t="s">
        <v>1556</v>
      </c>
      <c r="C73" s="43">
        <v>2.0</v>
      </c>
      <c r="D73" s="43">
        <v>88.0</v>
      </c>
    </row>
    <row r="74" ht="15.75" customHeight="1"/>
    <row r="75" ht="15.75" customHeight="1"/>
    <row r="76" ht="15.75" customHeight="1">
      <c r="A76" s="25" t="s">
        <v>1566</v>
      </c>
      <c r="B76" s="26"/>
      <c r="C76" s="26"/>
      <c r="D76" s="26"/>
      <c r="E76" s="26"/>
    </row>
    <row r="77" ht="15.75" customHeight="1">
      <c r="A77" s="27" t="s">
        <v>1567</v>
      </c>
      <c r="B77" s="26"/>
      <c r="C77" s="26"/>
      <c r="D77" s="26"/>
      <c r="E77" s="26"/>
    </row>
    <row r="78" ht="15.75" customHeight="1">
      <c r="A78" s="41" t="s">
        <v>1387</v>
      </c>
      <c r="B78" s="41" t="s">
        <v>1389</v>
      </c>
      <c r="C78" s="41" t="s">
        <v>1391</v>
      </c>
      <c r="D78" s="41" t="s">
        <v>1392</v>
      </c>
      <c r="E78" s="41" t="s">
        <v>1575</v>
      </c>
    </row>
    <row r="79" ht="15.75" customHeight="1">
      <c r="A79" s="13" t="s">
        <v>1577</v>
      </c>
      <c r="B79" s="13" t="s">
        <v>1578</v>
      </c>
      <c r="C79" s="13" t="s">
        <v>1579</v>
      </c>
      <c r="D79" s="13" t="s">
        <v>1580</v>
      </c>
      <c r="E79" s="13" t="s">
        <v>1581</v>
      </c>
    </row>
    <row r="80" ht="15.75" customHeight="1">
      <c r="A80" s="13" t="s">
        <v>1582</v>
      </c>
      <c r="B80" s="13" t="s">
        <v>1099</v>
      </c>
      <c r="C80" s="13" t="s">
        <v>1584</v>
      </c>
      <c r="D80" s="13" t="s">
        <v>1586</v>
      </c>
      <c r="E80" s="13" t="s">
        <v>1588</v>
      </c>
    </row>
    <row r="81" ht="15.75" customHeight="1">
      <c r="A81" s="13" t="s">
        <v>1589</v>
      </c>
      <c r="B81" s="13" t="s">
        <v>1590</v>
      </c>
      <c r="C81" s="43">
        <v>2024.0</v>
      </c>
      <c r="D81" s="13" t="s">
        <v>1591</v>
      </c>
      <c r="E81" s="13" t="s">
        <v>1592</v>
      </c>
    </row>
    <row r="82" ht="15.75" customHeight="1">
      <c r="A82" s="13" t="s">
        <v>1594</v>
      </c>
      <c r="B82" s="13" t="s">
        <v>1596</v>
      </c>
      <c r="C82" s="13" t="s">
        <v>1597</v>
      </c>
      <c r="D82" s="13" t="s">
        <v>1600</v>
      </c>
      <c r="E82" s="13" t="s">
        <v>1601</v>
      </c>
    </row>
    <row r="83" ht="15.75" customHeight="1">
      <c r="A83" s="13" t="s">
        <v>1603</v>
      </c>
      <c r="B83" s="13" t="s">
        <v>1604</v>
      </c>
      <c r="C83" s="43">
        <v>2026.0</v>
      </c>
      <c r="D83" s="13" t="s">
        <v>1607</v>
      </c>
      <c r="E83" s="13" t="s">
        <v>1609</v>
      </c>
    </row>
    <row r="84" ht="15.75" customHeight="1"/>
    <row r="85" ht="15.75" customHeight="1"/>
    <row r="86" ht="15.75" customHeight="1">
      <c r="A86" s="25" t="s">
        <v>1610</v>
      </c>
      <c r="B86" s="26"/>
      <c r="C86" s="26"/>
      <c r="D86" s="26"/>
    </row>
    <row r="87" ht="15.75" customHeight="1">
      <c r="A87" s="27" t="s">
        <v>1612</v>
      </c>
      <c r="B87" s="26"/>
      <c r="C87" s="26"/>
      <c r="D87" s="26"/>
    </row>
    <row r="88" ht="15.75" customHeight="1">
      <c r="A88" s="41" t="s">
        <v>1614</v>
      </c>
      <c r="B88" s="41" t="s">
        <v>1616</v>
      </c>
    </row>
    <row r="89" ht="15.75" customHeight="1"/>
    <row r="90" ht="15.75" customHeight="1"/>
    <row r="91" ht="15.75" customHeight="1">
      <c r="A91" s="25" t="s">
        <v>1618</v>
      </c>
      <c r="B91" s="26"/>
      <c r="C91" s="26"/>
      <c r="D91" s="26"/>
    </row>
    <row r="92" ht="15.75" customHeight="1">
      <c r="A92" s="27" t="s">
        <v>1547</v>
      </c>
      <c r="B92" s="26"/>
      <c r="C92" s="26"/>
      <c r="D92" s="26"/>
    </row>
    <row r="93" ht="15.75" customHeight="1">
      <c r="A93" s="41" t="s">
        <v>1548</v>
      </c>
      <c r="B93" s="41" t="s">
        <v>1549</v>
      </c>
      <c r="C93" s="41" t="s">
        <v>1550</v>
      </c>
      <c r="D93" s="41" t="s">
        <v>1552</v>
      </c>
    </row>
    <row r="94" ht="15.75" customHeight="1">
      <c r="A94" s="13" t="s">
        <v>1621</v>
      </c>
      <c r="B94" s="43">
        <v>11.0</v>
      </c>
      <c r="C94" s="43">
        <v>1.0</v>
      </c>
      <c r="D94" s="43">
        <v>91.7</v>
      </c>
    </row>
    <row r="95" ht="15.75" customHeight="1">
      <c r="A95" s="13" t="s">
        <v>1623</v>
      </c>
      <c r="B95" s="43">
        <v>12.0</v>
      </c>
      <c r="C95" s="43">
        <v>0.0</v>
      </c>
      <c r="D95" s="43">
        <v>100.0</v>
      </c>
    </row>
    <row r="96" ht="15.75" customHeight="1">
      <c r="A96" s="13" t="s">
        <v>1626</v>
      </c>
      <c r="B96" s="43">
        <v>11.0</v>
      </c>
      <c r="C96" s="43">
        <v>1.0</v>
      </c>
      <c r="D96" s="43">
        <v>91.7</v>
      </c>
    </row>
    <row r="97" ht="15.75" customHeight="1">
      <c r="A97" s="13" t="s">
        <v>1629</v>
      </c>
      <c r="B97" s="43">
        <v>11.0</v>
      </c>
      <c r="C97" s="43">
        <v>1.0</v>
      </c>
      <c r="D97" s="43">
        <v>91.7</v>
      </c>
    </row>
    <row r="98" ht="15.75" customHeight="1"/>
    <row r="99" ht="15.75" customHeight="1"/>
    <row r="100" ht="15.75" customHeight="1">
      <c r="A100" s="25" t="s">
        <v>1631</v>
      </c>
      <c r="B100" s="26"/>
      <c r="C100" s="26"/>
      <c r="D100" s="26"/>
      <c r="E100" s="26"/>
    </row>
    <row r="101" ht="15.75" customHeight="1">
      <c r="A101" s="27" t="s">
        <v>1567</v>
      </c>
      <c r="B101" s="26"/>
      <c r="C101" s="26"/>
      <c r="D101" s="26"/>
      <c r="E101" s="26"/>
    </row>
    <row r="102" ht="15.75" customHeight="1">
      <c r="A102" s="41" t="s">
        <v>1387</v>
      </c>
      <c r="B102" s="41" t="s">
        <v>1389</v>
      </c>
      <c r="C102" s="41" t="s">
        <v>1391</v>
      </c>
      <c r="D102" s="41" t="s">
        <v>1392</v>
      </c>
      <c r="E102" s="41" t="s">
        <v>1575</v>
      </c>
    </row>
    <row r="103" ht="15.75" customHeight="1">
      <c r="A103" s="13" t="s">
        <v>1638</v>
      </c>
      <c r="B103" s="13" t="s">
        <v>1578</v>
      </c>
      <c r="C103" s="13" t="s">
        <v>1579</v>
      </c>
      <c r="D103" s="13" t="s">
        <v>1641</v>
      </c>
      <c r="E103" s="13" t="s">
        <v>1642</v>
      </c>
    </row>
    <row r="104" ht="15.75" customHeight="1">
      <c r="A104" s="13" t="s">
        <v>1643</v>
      </c>
      <c r="B104" s="13" t="s">
        <v>1405</v>
      </c>
      <c r="C104" s="13" t="s">
        <v>1407</v>
      </c>
      <c r="D104" s="13" t="s">
        <v>1649</v>
      </c>
      <c r="E104" s="13" t="s">
        <v>1650</v>
      </c>
    </row>
    <row r="105" ht="15.75" customHeight="1">
      <c r="A105" s="13" t="s">
        <v>1651</v>
      </c>
      <c r="B105" s="13" t="s">
        <v>1590</v>
      </c>
      <c r="C105" s="13" t="s">
        <v>1653</v>
      </c>
      <c r="D105" s="13" t="s">
        <v>1655</v>
      </c>
      <c r="E105" s="13" t="s">
        <v>1656</v>
      </c>
    </row>
    <row r="106" ht="15.75" customHeight="1">
      <c r="A106" s="13" t="s">
        <v>1658</v>
      </c>
      <c r="B106" s="13" t="s">
        <v>1660</v>
      </c>
      <c r="C106" s="43">
        <v>2025.0</v>
      </c>
      <c r="D106" s="13" t="s">
        <v>1661</v>
      </c>
      <c r="E106" s="13" t="s">
        <v>1663</v>
      </c>
    </row>
    <row r="107" ht="15.75" customHeight="1">
      <c r="A107" s="13" t="s">
        <v>1664</v>
      </c>
      <c r="B107" s="13" t="s">
        <v>1666</v>
      </c>
      <c r="C107" s="43">
        <v>2026.0</v>
      </c>
      <c r="D107" s="13" t="s">
        <v>1669</v>
      </c>
      <c r="E107" s="13" t="s">
        <v>1671</v>
      </c>
    </row>
    <row r="108" ht="15.75" customHeight="1"/>
    <row r="109" ht="15.75" customHeight="1"/>
    <row r="110" ht="15.75" customHeight="1">
      <c r="A110" s="25" t="s">
        <v>1672</v>
      </c>
      <c r="B110" s="26"/>
      <c r="C110" s="26"/>
      <c r="D110" s="26"/>
    </row>
    <row r="111" ht="15.75" customHeight="1">
      <c r="A111" s="27" t="s">
        <v>1678</v>
      </c>
      <c r="B111" s="26"/>
      <c r="C111" s="26"/>
      <c r="D111" s="26"/>
    </row>
    <row r="112" ht="15.75" customHeight="1">
      <c r="A112" s="41" t="s">
        <v>1681</v>
      </c>
      <c r="B112" s="41" t="s">
        <v>1683</v>
      </c>
    </row>
    <row r="113" ht="15.75" customHeight="1"/>
    <row r="114" ht="15.75" customHeight="1"/>
    <row r="115" ht="15.75" customHeight="1">
      <c r="A115" s="25" t="s">
        <v>1686</v>
      </c>
      <c r="B115" s="26"/>
      <c r="C115" s="26"/>
      <c r="D115" s="26"/>
    </row>
    <row r="116" ht="15.75" customHeight="1">
      <c r="A116" s="27" t="s">
        <v>1688</v>
      </c>
      <c r="B116" s="26"/>
      <c r="C116" s="26"/>
      <c r="D116" s="26"/>
    </row>
    <row r="117" ht="15.75" customHeight="1">
      <c r="A117" s="41" t="s">
        <v>1434</v>
      </c>
      <c r="B117" s="41" t="s">
        <v>1690</v>
      </c>
      <c r="C117" s="41" t="s">
        <v>1691</v>
      </c>
      <c r="D117" s="41" t="s">
        <v>1693</v>
      </c>
    </row>
    <row r="118" ht="15.75" customHeight="1">
      <c r="A118" s="13" t="s">
        <v>1442</v>
      </c>
      <c r="B118" s="43">
        <v>741428.0</v>
      </c>
      <c r="C118" s="43">
        <v>1124811.0</v>
      </c>
      <c r="D118" s="13" t="s">
        <v>1696</v>
      </c>
    </row>
    <row r="119" ht="15.75" customHeight="1">
      <c r="A119" s="13" t="s">
        <v>715</v>
      </c>
      <c r="B119" s="43">
        <v>221.0</v>
      </c>
      <c r="C119" s="43">
        <v>258.0</v>
      </c>
      <c r="D119" s="13" t="s">
        <v>1700</v>
      </c>
    </row>
    <row r="120" ht="15.75" customHeight="1">
      <c r="A120" s="13" t="s">
        <v>1449</v>
      </c>
      <c r="B120" s="43">
        <v>224.0</v>
      </c>
      <c r="C120" s="43">
        <v>303.0</v>
      </c>
      <c r="D120" s="13" t="s">
        <v>1704</v>
      </c>
    </row>
    <row r="121" ht="15.75" customHeight="1">
      <c r="A121" s="13" t="s">
        <v>479</v>
      </c>
      <c r="B121" s="43">
        <v>360.0</v>
      </c>
      <c r="C121" s="43">
        <v>872.0</v>
      </c>
      <c r="D121" s="13" t="s">
        <v>1706</v>
      </c>
    </row>
    <row r="122" ht="15.75" customHeight="1">
      <c r="A122" s="13" t="s">
        <v>1708</v>
      </c>
      <c r="B122" s="43">
        <v>0.49</v>
      </c>
      <c r="C122" s="43">
        <v>0.78</v>
      </c>
      <c r="D122" s="13" t="s">
        <v>1710</v>
      </c>
    </row>
    <row r="123" ht="15.75" customHeight="1">
      <c r="A123" s="13" t="s">
        <v>1711</v>
      </c>
      <c r="B123" s="43">
        <v>0.0</v>
      </c>
      <c r="C123" s="43">
        <v>137.0</v>
      </c>
      <c r="D123" s="13" t="s">
        <v>1712</v>
      </c>
    </row>
    <row r="124" ht="15.75" customHeight="1">
      <c r="A124" s="13" t="s">
        <v>1715</v>
      </c>
      <c r="B124" s="43">
        <v>3.0</v>
      </c>
      <c r="C124" s="43">
        <v>21.0</v>
      </c>
      <c r="D124" s="13" t="s">
        <v>1720</v>
      </c>
    </row>
    <row r="125" ht="15.75" customHeight="1">
      <c r="A125" s="13" t="s">
        <v>1723</v>
      </c>
      <c r="B125" s="43">
        <v>1.0</v>
      </c>
      <c r="C125" s="43">
        <v>3.0</v>
      </c>
      <c r="D125" s="13" t="s">
        <v>1727</v>
      </c>
    </row>
    <row r="126" ht="15.75" customHeight="1">
      <c r="A126" s="13" t="s">
        <v>1729</v>
      </c>
      <c r="B126" s="43">
        <v>52.0</v>
      </c>
      <c r="C126" s="43">
        <v>78.0</v>
      </c>
      <c r="D126" s="13" t="s">
        <v>1734</v>
      </c>
    </row>
    <row r="127" ht="15.75" customHeight="1">
      <c r="A127" s="42" t="s">
        <v>739</v>
      </c>
    </row>
    <row r="128" ht="15.75" customHeight="1"/>
    <row r="129" ht="15.75" customHeight="1"/>
    <row r="130" ht="15.75" customHeight="1">
      <c r="A130" s="25" t="s">
        <v>1740</v>
      </c>
      <c r="B130" s="26"/>
      <c r="C130" s="26"/>
      <c r="D130" s="26"/>
      <c r="E130" s="26"/>
      <c r="F130" s="26"/>
      <c r="G130" s="26"/>
      <c r="H130" s="26"/>
      <c r="I130" s="26"/>
      <c r="J130" s="26"/>
      <c r="K130" s="26"/>
      <c r="L130" s="26"/>
    </row>
    <row r="131" ht="15.75" customHeight="1">
      <c r="A131" s="27" t="s">
        <v>1750</v>
      </c>
      <c r="B131" s="26"/>
      <c r="C131" s="26"/>
      <c r="D131" s="26"/>
      <c r="E131" s="26"/>
      <c r="F131" s="26"/>
      <c r="G131" s="26"/>
      <c r="H131" s="26"/>
      <c r="I131" s="26"/>
      <c r="J131" s="26"/>
      <c r="K131" s="26"/>
      <c r="L131" s="26"/>
    </row>
    <row r="132" ht="15.75" customHeight="1">
      <c r="A132" s="41" t="s">
        <v>1758</v>
      </c>
      <c r="B132" s="41"/>
      <c r="C132" s="41"/>
      <c r="D132" s="41"/>
      <c r="E132" s="41" t="s">
        <v>1761</v>
      </c>
      <c r="F132" s="41" t="s">
        <v>1763</v>
      </c>
      <c r="G132" s="41" t="s">
        <v>1763</v>
      </c>
      <c r="H132" s="41" t="s">
        <v>1761</v>
      </c>
      <c r="I132" s="41"/>
      <c r="J132" s="41"/>
      <c r="K132" s="41" t="s">
        <v>1761</v>
      </c>
      <c r="L132" s="41" t="s">
        <v>1770</v>
      </c>
    </row>
    <row r="133" ht="15.75" customHeight="1">
      <c r="A133" s="13"/>
      <c r="B133" s="13"/>
      <c r="C133" s="13"/>
      <c r="D133" s="13" t="s">
        <v>1761</v>
      </c>
      <c r="E133" s="13" t="s">
        <v>1763</v>
      </c>
      <c r="F133" s="13" t="s">
        <v>1763</v>
      </c>
      <c r="G133" s="13" t="s">
        <v>1761</v>
      </c>
      <c r="H133" s="13"/>
      <c r="I133" s="13"/>
      <c r="J133" s="13" t="s">
        <v>1761</v>
      </c>
      <c r="K133" s="13" t="s">
        <v>1775</v>
      </c>
      <c r="L133" s="13"/>
    </row>
    <row r="134" ht="15.75" customHeight="1">
      <c r="A134" s="13" t="s">
        <v>1776</v>
      </c>
      <c r="B134" s="13"/>
      <c r="C134" s="13"/>
      <c r="D134" s="13"/>
      <c r="E134" s="13" t="s">
        <v>1761</v>
      </c>
      <c r="F134" s="13" t="s">
        <v>1763</v>
      </c>
      <c r="G134" s="13" t="s">
        <v>1763</v>
      </c>
      <c r="H134" s="13" t="s">
        <v>1761</v>
      </c>
      <c r="I134" s="13"/>
      <c r="J134" s="13"/>
      <c r="K134" s="13" t="s">
        <v>1761</v>
      </c>
      <c r="L134" s="13" t="s">
        <v>1782</v>
      </c>
    </row>
    <row r="135" ht="15.75" customHeight="1">
      <c r="A135" s="13"/>
      <c r="B135" s="13"/>
      <c r="C135" s="13"/>
      <c r="D135" s="13" t="s">
        <v>1761</v>
      </c>
      <c r="E135" s="13" t="s">
        <v>1763</v>
      </c>
      <c r="F135" s="13" t="s">
        <v>1763</v>
      </c>
      <c r="G135" s="13" t="s">
        <v>1761</v>
      </c>
      <c r="H135" s="13"/>
      <c r="I135" s="13"/>
      <c r="J135" s="13" t="s">
        <v>1761</v>
      </c>
      <c r="K135" s="13" t="s">
        <v>1789</v>
      </c>
      <c r="L135" s="13"/>
    </row>
    <row r="136" ht="15.75" customHeight="1">
      <c r="A136" s="13" t="s">
        <v>1711</v>
      </c>
      <c r="B136" s="13"/>
      <c r="C136" s="13"/>
      <c r="D136" s="13"/>
      <c r="E136" s="13" t="s">
        <v>1761</v>
      </c>
      <c r="F136" s="13" t="s">
        <v>1763</v>
      </c>
      <c r="G136" s="13" t="s">
        <v>1763</v>
      </c>
      <c r="H136" s="13" t="s">
        <v>1761</v>
      </c>
      <c r="I136" s="13"/>
      <c r="J136" s="13"/>
      <c r="K136" s="13" t="s">
        <v>1761</v>
      </c>
      <c r="L136" s="13" t="s">
        <v>1802</v>
      </c>
    </row>
    <row r="137" ht="15.75" customHeight="1">
      <c r="A137" s="13"/>
      <c r="B137" s="13"/>
      <c r="C137" s="13"/>
      <c r="D137" s="13" t="s">
        <v>1761</v>
      </c>
      <c r="E137" s="13" t="s">
        <v>1763</v>
      </c>
      <c r="F137" s="13" t="s">
        <v>1763</v>
      </c>
      <c r="G137" s="13" t="s">
        <v>1761</v>
      </c>
      <c r="H137" s="13"/>
      <c r="I137" s="13"/>
      <c r="J137" s="13" t="s">
        <v>1761</v>
      </c>
      <c r="K137" s="13" t="s">
        <v>1806</v>
      </c>
      <c r="L137" s="13"/>
    </row>
    <row r="138" ht="15.75" customHeight="1">
      <c r="A138" s="13" t="s">
        <v>1807</v>
      </c>
      <c r="B138" s="13"/>
      <c r="C138" s="13"/>
      <c r="D138" s="13"/>
      <c r="E138" s="13" t="s">
        <v>1761</v>
      </c>
      <c r="F138" s="13" t="s">
        <v>1763</v>
      </c>
      <c r="G138" s="13" t="s">
        <v>1763</v>
      </c>
      <c r="H138" s="13" t="s">
        <v>1761</v>
      </c>
      <c r="I138" s="13"/>
      <c r="J138" s="13"/>
      <c r="K138" s="13" t="s">
        <v>1761</v>
      </c>
      <c r="L138" s="13" t="s">
        <v>1810</v>
      </c>
    </row>
    <row r="139" ht="15.75" customHeight="1">
      <c r="A139" s="13"/>
      <c r="B139" s="13"/>
      <c r="C139" s="13"/>
      <c r="D139" s="13" t="s">
        <v>1761</v>
      </c>
      <c r="E139" s="13" t="s">
        <v>1763</v>
      </c>
      <c r="F139" s="13" t="s">
        <v>1763</v>
      </c>
      <c r="G139" s="13" t="s">
        <v>1761</v>
      </c>
      <c r="H139" s="13"/>
      <c r="I139" s="13"/>
      <c r="J139" s="13" t="s">
        <v>1761</v>
      </c>
      <c r="K139" s="13" t="s">
        <v>1812</v>
      </c>
      <c r="L139" s="13"/>
    </row>
    <row r="140" ht="15.75" customHeight="1"/>
    <row r="141" ht="15.75" customHeight="1"/>
    <row r="142" ht="15.75" customHeight="1">
      <c r="A142" s="25" t="s">
        <v>1815</v>
      </c>
      <c r="B142" s="26"/>
      <c r="C142" s="26"/>
      <c r="D142" s="26"/>
      <c r="E142" s="26"/>
    </row>
    <row r="143" ht="15.75" customHeight="1">
      <c r="A143" s="27" t="s">
        <v>1816</v>
      </c>
      <c r="B143" s="26"/>
      <c r="C143" s="26"/>
      <c r="D143" s="26"/>
      <c r="E143" s="26"/>
    </row>
    <row r="144" ht="15.75" customHeight="1">
      <c r="A144" s="41"/>
      <c r="B144" s="41" t="s">
        <v>1817</v>
      </c>
      <c r="C144" s="41" t="s">
        <v>464</v>
      </c>
      <c r="D144" s="41" t="s">
        <v>715</v>
      </c>
      <c r="E144" s="41" t="s">
        <v>1818</v>
      </c>
    </row>
    <row r="145" ht="15.75" customHeight="1">
      <c r="A145" s="13" t="s">
        <v>1819</v>
      </c>
      <c r="B145" s="13" t="s">
        <v>749</v>
      </c>
      <c r="C145" s="43">
        <v>699808.0</v>
      </c>
      <c r="D145" s="43">
        <v>241.0</v>
      </c>
      <c r="E145" s="43">
        <v>172.0</v>
      </c>
    </row>
    <row r="146" ht="15.75" customHeight="1">
      <c r="A146" s="13" t="s">
        <v>1820</v>
      </c>
      <c r="B146" s="13" t="s">
        <v>1821</v>
      </c>
      <c r="C146" s="43">
        <v>113435.0</v>
      </c>
      <c r="D146" s="43">
        <v>46.0</v>
      </c>
      <c r="E146" s="43">
        <v>50.0</v>
      </c>
    </row>
    <row r="147" ht="15.75" customHeight="1">
      <c r="A147" s="13" t="s">
        <v>978</v>
      </c>
      <c r="B147" s="43">
        <v>24.0</v>
      </c>
      <c r="C147" s="43">
        <v>813243.0</v>
      </c>
      <c r="D147" s="43">
        <v>287.0</v>
      </c>
      <c r="E147" s="43">
        <v>222.0</v>
      </c>
    </row>
    <row r="148" ht="15.75" customHeight="1">
      <c r="A148" s="42" t="s">
        <v>855</v>
      </c>
    </row>
    <row r="149" ht="15.75" customHeight="1"/>
    <row r="150" ht="15.75" customHeight="1"/>
    <row r="151" ht="15.75" customHeight="1">
      <c r="A151" s="25" t="s">
        <v>1823</v>
      </c>
      <c r="B151" s="26"/>
      <c r="C151" s="26"/>
      <c r="D151" s="26"/>
      <c r="E151" s="26"/>
    </row>
    <row r="152" ht="15.75" customHeight="1">
      <c r="A152" s="27" t="s">
        <v>1567</v>
      </c>
      <c r="B152" s="26"/>
      <c r="C152" s="26"/>
      <c r="D152" s="26"/>
      <c r="E152" s="26"/>
    </row>
    <row r="153" ht="15.75" customHeight="1">
      <c r="A153" s="41" t="s">
        <v>1387</v>
      </c>
      <c r="B153" s="41" t="s">
        <v>1389</v>
      </c>
      <c r="C153" s="41" t="s">
        <v>1391</v>
      </c>
      <c r="D153" s="41" t="s">
        <v>1392</v>
      </c>
      <c r="E153" s="41" t="s">
        <v>1825</v>
      </c>
    </row>
    <row r="154" ht="15.75" customHeight="1">
      <c r="A154" s="13" t="s">
        <v>1826</v>
      </c>
      <c r="B154" s="13" t="s">
        <v>1827</v>
      </c>
      <c r="C154" s="13" t="s">
        <v>1399</v>
      </c>
      <c r="D154" s="13" t="s">
        <v>1828</v>
      </c>
      <c r="E154" s="13" t="s">
        <v>1830</v>
      </c>
    </row>
    <row r="155" ht="15.75" customHeight="1">
      <c r="A155" s="13" t="s">
        <v>1832</v>
      </c>
      <c r="B155" s="13" t="s">
        <v>1405</v>
      </c>
      <c r="C155" s="13" t="s">
        <v>1407</v>
      </c>
      <c r="D155" s="13" t="s">
        <v>1833</v>
      </c>
      <c r="E155" s="13" t="s">
        <v>1834</v>
      </c>
    </row>
    <row r="156" ht="15.75" customHeight="1">
      <c r="A156" s="13" t="s">
        <v>1835</v>
      </c>
      <c r="B156" s="13" t="s">
        <v>1836</v>
      </c>
      <c r="C156" s="13" t="s">
        <v>1414</v>
      </c>
      <c r="D156" s="13" t="s">
        <v>1837</v>
      </c>
      <c r="E156" s="13" t="s">
        <v>1838</v>
      </c>
    </row>
    <row r="157" ht="15.75" customHeight="1">
      <c r="A157" s="13" t="s">
        <v>1839</v>
      </c>
      <c r="B157" s="13" t="s">
        <v>1840</v>
      </c>
      <c r="C157" s="13" t="s">
        <v>1597</v>
      </c>
      <c r="D157" s="13" t="s">
        <v>1841</v>
      </c>
      <c r="E157" s="13" t="s">
        <v>1842</v>
      </c>
    </row>
    <row r="158" ht="15.75" customHeight="1">
      <c r="A158" s="13" t="s">
        <v>1843</v>
      </c>
      <c r="B158" s="13" t="s">
        <v>1844</v>
      </c>
      <c r="C158" s="43">
        <v>2026.0</v>
      </c>
      <c r="D158" s="13" t="s">
        <v>1845</v>
      </c>
      <c r="E158" s="13" t="s">
        <v>1846</v>
      </c>
    </row>
    <row r="159" ht="15.75" customHeight="1"/>
    <row r="160" ht="15.75" customHeight="1"/>
    <row r="161" ht="15.75" customHeight="1">
      <c r="A161" s="25" t="s">
        <v>1848</v>
      </c>
      <c r="B161" s="26"/>
      <c r="C161" s="26"/>
      <c r="D161" s="26"/>
    </row>
    <row r="162" ht="15.75" customHeight="1">
      <c r="A162" s="27" t="s">
        <v>1849</v>
      </c>
      <c r="B162" s="26"/>
      <c r="C162" s="26"/>
      <c r="D162" s="26"/>
    </row>
    <row r="163" ht="15.75" customHeight="1">
      <c r="A163" s="41" t="s">
        <v>1850</v>
      </c>
      <c r="B163" s="41" t="s">
        <v>1851</v>
      </c>
    </row>
    <row r="164" ht="15.75" customHeight="1"/>
    <row r="165" ht="15.75" customHeight="1"/>
    <row r="166" ht="15.75" customHeight="1">
      <c r="A166" s="25" t="s">
        <v>1852</v>
      </c>
      <c r="B166" s="26"/>
      <c r="C166" s="26"/>
      <c r="D166" s="26"/>
    </row>
    <row r="167" ht="15.75" customHeight="1">
      <c r="A167" s="27" t="s">
        <v>1547</v>
      </c>
      <c r="B167" s="26"/>
      <c r="C167" s="26"/>
      <c r="D167" s="26"/>
    </row>
    <row r="168" ht="15.75" customHeight="1">
      <c r="A168" s="41" t="s">
        <v>1548</v>
      </c>
      <c r="B168" s="41" t="s">
        <v>1549</v>
      </c>
      <c r="C168" s="41" t="s">
        <v>1550</v>
      </c>
      <c r="D168" s="41" t="s">
        <v>1552</v>
      </c>
    </row>
    <row r="169" ht="15.75" customHeight="1">
      <c r="A169" s="13" t="s">
        <v>1623</v>
      </c>
      <c r="B169" s="43">
        <v>8.0</v>
      </c>
      <c r="C169" s="43">
        <v>0.0</v>
      </c>
      <c r="D169" s="43">
        <v>100.0</v>
      </c>
    </row>
    <row r="170" ht="15.75" customHeight="1">
      <c r="A170" s="13" t="s">
        <v>1621</v>
      </c>
      <c r="B170" s="43">
        <v>8.0</v>
      </c>
      <c r="C170" s="43">
        <v>0.0</v>
      </c>
      <c r="D170" s="43">
        <v>100.0</v>
      </c>
    </row>
    <row r="171" ht="15.75" customHeight="1">
      <c r="A171" s="13" t="s">
        <v>1626</v>
      </c>
      <c r="B171" s="43">
        <v>8.0</v>
      </c>
      <c r="C171" s="43">
        <v>0.0</v>
      </c>
      <c r="D171" s="43">
        <v>100.0</v>
      </c>
    </row>
    <row r="172" ht="15.75" customHeight="1">
      <c r="A172" s="13" t="s">
        <v>1629</v>
      </c>
      <c r="B172" s="43">
        <v>8.0</v>
      </c>
      <c r="C172" s="43">
        <v>0.0</v>
      </c>
      <c r="D172" s="43">
        <v>100.0</v>
      </c>
    </row>
    <row r="173" ht="15.75" customHeight="1">
      <c r="A173" s="13" t="s">
        <v>1855</v>
      </c>
      <c r="B173" s="43">
        <v>8.0</v>
      </c>
      <c r="C173" s="43">
        <v>0.0</v>
      </c>
      <c r="D173" s="43">
        <v>100.0</v>
      </c>
    </row>
    <row r="174" ht="15.75" customHeight="1">
      <c r="A174" s="42" t="s">
        <v>955</v>
      </c>
    </row>
    <row r="175" ht="15.75" customHeight="1"/>
    <row r="176" ht="15.75" customHeight="1"/>
    <row r="177" ht="15.75" customHeight="1">
      <c r="A177" s="25" t="s">
        <v>1856</v>
      </c>
      <c r="B177" s="26"/>
      <c r="C177" s="26"/>
      <c r="D177" s="26"/>
      <c r="E177" s="26"/>
    </row>
    <row r="178" ht="15.75" customHeight="1">
      <c r="A178" s="27" t="s">
        <v>1567</v>
      </c>
      <c r="B178" s="26"/>
      <c r="C178" s="26"/>
      <c r="D178" s="26"/>
      <c r="E178" s="26"/>
    </row>
    <row r="179" ht="15.75" customHeight="1">
      <c r="A179" s="41" t="s">
        <v>1387</v>
      </c>
      <c r="B179" s="41" t="s">
        <v>1389</v>
      </c>
      <c r="C179" s="41" t="s">
        <v>1391</v>
      </c>
      <c r="D179" s="41" t="s">
        <v>1392</v>
      </c>
      <c r="E179" s="41" t="s">
        <v>1575</v>
      </c>
    </row>
    <row r="180" ht="15.75" customHeight="1">
      <c r="A180" s="13" t="s">
        <v>1858</v>
      </c>
      <c r="B180" s="13" t="s">
        <v>1859</v>
      </c>
      <c r="C180" s="13" t="s">
        <v>1653</v>
      </c>
      <c r="D180" s="13" t="s">
        <v>1860</v>
      </c>
      <c r="E180" s="13" t="s">
        <v>1861</v>
      </c>
    </row>
    <row r="181" ht="15.75" customHeight="1">
      <c r="A181" s="13" t="s">
        <v>1862</v>
      </c>
      <c r="B181" s="13" t="s">
        <v>1863</v>
      </c>
      <c r="C181" s="13" t="s">
        <v>1866</v>
      </c>
      <c r="D181" s="13" t="s">
        <v>1867</v>
      </c>
      <c r="E181" s="13" t="s">
        <v>1868</v>
      </c>
    </row>
    <row r="182" ht="15.75" customHeight="1">
      <c r="A182" s="13" t="s">
        <v>1869</v>
      </c>
      <c r="B182" s="13" t="s">
        <v>1870</v>
      </c>
      <c r="C182" s="13" t="s">
        <v>1871</v>
      </c>
      <c r="D182" s="13" t="s">
        <v>1872</v>
      </c>
      <c r="E182" s="13" t="s">
        <v>1873</v>
      </c>
    </row>
    <row r="183" ht="15.75" customHeight="1">
      <c r="A183" s="13" t="s">
        <v>1874</v>
      </c>
      <c r="B183" s="13" t="s">
        <v>1876</v>
      </c>
      <c r="C183" s="13" t="s">
        <v>1877</v>
      </c>
      <c r="D183" s="13" t="s">
        <v>1878</v>
      </c>
      <c r="E183" s="13" t="s">
        <v>1879</v>
      </c>
    </row>
    <row r="184" ht="15.75" customHeight="1">
      <c r="A184" s="13" t="s">
        <v>1880</v>
      </c>
      <c r="B184" s="13" t="s">
        <v>1881</v>
      </c>
      <c r="C184" s="13" t="s">
        <v>1882</v>
      </c>
      <c r="D184" s="13" t="s">
        <v>1883</v>
      </c>
      <c r="E184" s="13" t="s">
        <v>1884</v>
      </c>
    </row>
    <row r="185" ht="15.75" customHeight="1">
      <c r="A185" s="42" t="s">
        <v>957</v>
      </c>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12" width="26.0"/>
    <col customWidth="1" min="13" max="26" width="8.71"/>
  </cols>
  <sheetData>
    <row r="1">
      <c r="A1" s="12" t="s">
        <v>1484</v>
      </c>
    </row>
    <row r="2">
      <c r="A2" s="24" t="s">
        <v>1487</v>
      </c>
    </row>
    <row r="4">
      <c r="A4" s="25" t="s">
        <v>1489</v>
      </c>
      <c r="B4" s="26"/>
      <c r="C4" s="26"/>
      <c r="D4" s="26"/>
    </row>
    <row r="5">
      <c r="A5" s="27" t="s">
        <v>1496</v>
      </c>
      <c r="B5" s="26"/>
      <c r="C5" s="26"/>
      <c r="D5" s="26"/>
    </row>
    <row r="6">
      <c r="A6" s="41" t="s">
        <v>1498</v>
      </c>
      <c r="B6" s="41" t="s">
        <v>1499</v>
      </c>
      <c r="C6" s="41" t="s">
        <v>1501</v>
      </c>
    </row>
    <row r="7">
      <c r="A7" s="13" t="s">
        <v>1502</v>
      </c>
      <c r="B7" s="13" t="s">
        <v>1505</v>
      </c>
      <c r="C7" s="13" t="s">
        <v>1507</v>
      </c>
    </row>
    <row r="8">
      <c r="A8" s="13" t="s">
        <v>1510</v>
      </c>
      <c r="B8" s="13" t="s">
        <v>1512</v>
      </c>
      <c r="C8" s="13" t="s">
        <v>1514</v>
      </c>
    </row>
    <row r="9">
      <c r="A9" s="13" t="s">
        <v>1516</v>
      </c>
      <c r="B9" s="13" t="s">
        <v>1519</v>
      </c>
      <c r="C9" s="13" t="s">
        <v>1521</v>
      </c>
    </row>
    <row r="10">
      <c r="A10" s="13" t="s">
        <v>1523</v>
      </c>
      <c r="B10" s="13" t="s">
        <v>1526</v>
      </c>
      <c r="C10" s="13" t="s">
        <v>1527</v>
      </c>
    </row>
    <row r="11">
      <c r="A11" s="13" t="s">
        <v>1529</v>
      </c>
      <c r="B11" s="13" t="s">
        <v>1531</v>
      </c>
      <c r="C11" s="13" t="s">
        <v>1533</v>
      </c>
    </row>
    <row r="12">
      <c r="A12" s="13" t="s">
        <v>1535</v>
      </c>
      <c r="B12" s="13" t="s">
        <v>1553</v>
      </c>
      <c r="C12" s="13" t="s">
        <v>1557</v>
      </c>
    </row>
    <row r="15">
      <c r="A15" s="25" t="s">
        <v>1559</v>
      </c>
      <c r="B15" s="26"/>
      <c r="C15" s="26"/>
      <c r="D15" s="26"/>
      <c r="E15" s="26"/>
    </row>
    <row r="16">
      <c r="A16" s="27" t="s">
        <v>1565</v>
      </c>
      <c r="B16" s="26"/>
      <c r="C16" s="26"/>
      <c r="D16" s="26"/>
      <c r="E16" s="26"/>
    </row>
    <row r="17">
      <c r="A17" s="41" t="s">
        <v>547</v>
      </c>
      <c r="B17" s="41" t="s">
        <v>1570</v>
      </c>
      <c r="C17" s="41" t="s">
        <v>1572</v>
      </c>
      <c r="D17" s="41" t="s">
        <v>1573</v>
      </c>
      <c r="E17" s="41" t="s">
        <v>1576</v>
      </c>
    </row>
    <row r="18">
      <c r="A18" s="13" t="s">
        <v>526</v>
      </c>
      <c r="B18" s="43">
        <v>4.34</v>
      </c>
      <c r="C18" s="13" t="s">
        <v>1583</v>
      </c>
      <c r="D18" s="13" t="s">
        <v>1585</v>
      </c>
      <c r="E18" s="13" t="s">
        <v>1587</v>
      </c>
    </row>
    <row r="19">
      <c r="A19" s="13" t="s">
        <v>644</v>
      </c>
      <c r="B19" s="43">
        <v>3.96</v>
      </c>
      <c r="C19" s="13" t="s">
        <v>1593</v>
      </c>
      <c r="D19" s="13" t="s">
        <v>1595</v>
      </c>
      <c r="E19" s="13" t="s">
        <v>1598</v>
      </c>
    </row>
    <row r="20">
      <c r="A20" s="13" t="s">
        <v>622</v>
      </c>
      <c r="B20" s="43">
        <v>2.47</v>
      </c>
      <c r="C20" s="13" t="s">
        <v>1605</v>
      </c>
      <c r="D20" s="13" t="s">
        <v>1608</v>
      </c>
      <c r="E20" s="13" t="s">
        <v>1611</v>
      </c>
    </row>
    <row r="21" ht="15.75" customHeight="1">
      <c r="A21" s="13" t="s">
        <v>668</v>
      </c>
      <c r="B21" s="13" t="s">
        <v>1475</v>
      </c>
      <c r="C21" s="13" t="s">
        <v>344</v>
      </c>
      <c r="D21" s="13" t="s">
        <v>1613</v>
      </c>
      <c r="E21" s="13" t="s">
        <v>1615</v>
      </c>
    </row>
    <row r="22" ht="15.75" customHeight="1"/>
    <row r="23" ht="15.75" customHeight="1"/>
    <row r="24" ht="15.75" customHeight="1">
      <c r="A24" s="25" t="s">
        <v>1619</v>
      </c>
      <c r="B24" s="26"/>
      <c r="C24" s="26"/>
      <c r="D24" s="26"/>
    </row>
    <row r="25" ht="15.75" customHeight="1">
      <c r="A25" s="27" t="s">
        <v>1620</v>
      </c>
      <c r="B25" s="26"/>
      <c r="C25" s="26"/>
      <c r="D25" s="26"/>
    </row>
    <row r="26" ht="15.75" customHeight="1">
      <c r="A26" s="41" t="s">
        <v>1624</v>
      </c>
      <c r="B26" s="41" t="s">
        <v>1625</v>
      </c>
      <c r="C26" s="41" t="s">
        <v>1627</v>
      </c>
      <c r="D26" s="41" t="s">
        <v>1628</v>
      </c>
    </row>
    <row r="27" ht="15.75" customHeight="1">
      <c r="A27" s="43">
        <v>1.0</v>
      </c>
      <c r="B27" s="13" t="s">
        <v>1630</v>
      </c>
      <c r="C27" s="13" t="s">
        <v>1632</v>
      </c>
      <c r="D27" s="13" t="s">
        <v>1633</v>
      </c>
    </row>
    <row r="28" ht="15.75" customHeight="1">
      <c r="A28" s="43">
        <v>2.0</v>
      </c>
      <c r="B28" s="13" t="s">
        <v>1634</v>
      </c>
      <c r="C28" s="13" t="s">
        <v>1635</v>
      </c>
      <c r="D28" s="13" t="s">
        <v>1636</v>
      </c>
    </row>
    <row r="29" ht="15.75" customHeight="1">
      <c r="A29" s="43">
        <v>3.0</v>
      </c>
      <c r="B29" s="13" t="s">
        <v>1637</v>
      </c>
      <c r="C29" s="13" t="s">
        <v>1639</v>
      </c>
      <c r="D29" s="13" t="s">
        <v>1640</v>
      </c>
    </row>
    <row r="30" ht="15.75" customHeight="1">
      <c r="A30" s="43">
        <v>4.0</v>
      </c>
      <c r="B30" s="13" t="s">
        <v>1644</v>
      </c>
      <c r="C30" s="13" t="s">
        <v>1645</v>
      </c>
      <c r="D30" s="13" t="s">
        <v>1648</v>
      </c>
    </row>
    <row r="31" ht="15.75" customHeight="1">
      <c r="A31" s="43">
        <v>5.0</v>
      </c>
      <c r="B31" s="13" t="s">
        <v>1639</v>
      </c>
      <c r="C31" s="13" t="s">
        <v>1652</v>
      </c>
      <c r="D31" s="13" t="s">
        <v>1654</v>
      </c>
    </row>
    <row r="32" ht="15.75" customHeight="1">
      <c r="A32" s="43">
        <v>6.0</v>
      </c>
      <c r="B32" s="13" t="s">
        <v>1659</v>
      </c>
      <c r="C32" s="13" t="s">
        <v>1659</v>
      </c>
      <c r="D32" s="13" t="s">
        <v>1662</v>
      </c>
    </row>
    <row r="33" ht="15.75" customHeight="1">
      <c r="A33" s="43">
        <v>7.0</v>
      </c>
      <c r="B33" s="13" t="s">
        <v>1665</v>
      </c>
      <c r="C33" s="13" t="s">
        <v>1668</v>
      </c>
      <c r="D33" s="13" t="s">
        <v>1670</v>
      </c>
    </row>
    <row r="34" ht="15.75" customHeight="1">
      <c r="A34" s="43">
        <v>8.0</v>
      </c>
      <c r="B34" s="13" t="s">
        <v>1673</v>
      </c>
      <c r="C34" s="13" t="s">
        <v>1674</v>
      </c>
      <c r="D34" s="13" t="s">
        <v>1676</v>
      </c>
    </row>
    <row r="35" ht="15.75" customHeight="1">
      <c r="A35" s="43">
        <v>9.0</v>
      </c>
      <c r="B35" s="13" t="s">
        <v>1679</v>
      </c>
      <c r="C35" s="13" t="s">
        <v>1680</v>
      </c>
      <c r="D35" s="13" t="s">
        <v>1682</v>
      </c>
    </row>
    <row r="36" ht="15.75" customHeight="1">
      <c r="A36" s="43">
        <v>10.0</v>
      </c>
      <c r="B36" s="13" t="s">
        <v>1684</v>
      </c>
      <c r="C36" s="13" t="s">
        <v>344</v>
      </c>
      <c r="D36" s="13"/>
    </row>
    <row r="37" ht="15.75" customHeight="1">
      <c r="A37" s="42" t="s">
        <v>387</v>
      </c>
    </row>
    <row r="38" ht="15.75" customHeight="1"/>
    <row r="39" ht="15.75" customHeight="1"/>
    <row r="40" ht="15.75" customHeight="1">
      <c r="A40" s="25" t="s">
        <v>1689</v>
      </c>
      <c r="B40" s="26"/>
      <c r="C40" s="26"/>
      <c r="D40" s="26"/>
    </row>
    <row r="41" ht="15.75" customHeight="1">
      <c r="A41" s="27" t="s">
        <v>1694</v>
      </c>
      <c r="B41" s="26"/>
      <c r="C41" s="26"/>
      <c r="D41" s="26"/>
    </row>
    <row r="42" ht="15.75" customHeight="1">
      <c r="A42" s="41" t="s">
        <v>1698</v>
      </c>
      <c r="B42" s="41" t="s">
        <v>1699</v>
      </c>
    </row>
    <row r="43" ht="15.75" customHeight="1">
      <c r="A43" s="42" t="s">
        <v>395</v>
      </c>
    </row>
    <row r="44" ht="15.75" customHeight="1"/>
    <row r="45" ht="15.75" customHeight="1"/>
    <row r="46" ht="15.75" customHeight="1">
      <c r="A46" s="25" t="s">
        <v>1703</v>
      </c>
      <c r="B46" s="26"/>
      <c r="C46" s="26"/>
      <c r="D46" s="26"/>
    </row>
    <row r="47" ht="15.75" customHeight="1">
      <c r="A47" s="27" t="s">
        <v>1707</v>
      </c>
      <c r="B47" s="26"/>
      <c r="C47" s="26"/>
      <c r="D47" s="26"/>
    </row>
    <row r="48" ht="15.75" customHeight="1">
      <c r="A48" s="41" t="s">
        <v>1714</v>
      </c>
      <c r="B48" s="41" t="s">
        <v>1717</v>
      </c>
      <c r="C48" s="41" t="s">
        <v>1719</v>
      </c>
      <c r="D48" s="41" t="s">
        <v>1721</v>
      </c>
    </row>
    <row r="49" ht="15.75" customHeight="1">
      <c r="A49" s="13" t="s">
        <v>1724</v>
      </c>
      <c r="B49" s="13" t="s">
        <v>1726</v>
      </c>
      <c r="C49" s="13" t="s">
        <v>1730</v>
      </c>
      <c r="D49" s="13" t="s">
        <v>277</v>
      </c>
    </row>
    <row r="50" ht="15.75" customHeight="1">
      <c r="A50" s="13" t="s">
        <v>1735</v>
      </c>
      <c r="B50" s="13" t="s">
        <v>1736</v>
      </c>
      <c r="C50" s="13" t="s">
        <v>1738</v>
      </c>
      <c r="D50" s="13" t="s">
        <v>334</v>
      </c>
    </row>
    <row r="51" ht="15.75" customHeight="1">
      <c r="A51" s="43">
        <v>2023.0</v>
      </c>
      <c r="B51" s="13" t="s">
        <v>1742</v>
      </c>
      <c r="C51" s="13" t="s">
        <v>1744</v>
      </c>
      <c r="D51" s="13" t="s">
        <v>334</v>
      </c>
    </row>
    <row r="52" ht="15.75" customHeight="1">
      <c r="A52" s="13" t="s">
        <v>1745</v>
      </c>
      <c r="B52" s="13" t="s">
        <v>1746</v>
      </c>
      <c r="C52" s="13" t="s">
        <v>1749</v>
      </c>
      <c r="D52" s="13" t="s">
        <v>334</v>
      </c>
    </row>
    <row r="53" ht="15.75" customHeight="1">
      <c r="A53" s="13" t="s">
        <v>1751</v>
      </c>
      <c r="B53" s="13" t="s">
        <v>1752</v>
      </c>
      <c r="C53" s="13" t="s">
        <v>1753</v>
      </c>
      <c r="D53" s="13" t="s">
        <v>334</v>
      </c>
    </row>
    <row r="54" ht="15.75" customHeight="1">
      <c r="A54" s="13" t="s">
        <v>1756</v>
      </c>
      <c r="B54" s="13" t="s">
        <v>1757</v>
      </c>
      <c r="C54" s="13" t="s">
        <v>1759</v>
      </c>
      <c r="D54" s="13" t="s">
        <v>277</v>
      </c>
    </row>
    <row r="55" ht="15.75" customHeight="1">
      <c r="A55" s="13" t="s">
        <v>1762</v>
      </c>
      <c r="B55" s="13" t="s">
        <v>1764</v>
      </c>
      <c r="C55" s="13" t="s">
        <v>1765</v>
      </c>
      <c r="D55" s="13" t="s">
        <v>277</v>
      </c>
    </row>
    <row r="56" ht="15.75" customHeight="1">
      <c r="A56" s="43">
        <v>2025.0</v>
      </c>
      <c r="B56" s="13" t="s">
        <v>1767</v>
      </c>
      <c r="C56" s="13" t="s">
        <v>1768</v>
      </c>
      <c r="D56" s="13" t="s">
        <v>277</v>
      </c>
    </row>
    <row r="57" ht="15.75" customHeight="1">
      <c r="A57" s="42" t="s">
        <v>408</v>
      </c>
    </row>
    <row r="58" ht="15.75" customHeight="1"/>
    <row r="59" ht="15.75" customHeight="1"/>
    <row r="60" ht="15.75" customHeight="1">
      <c r="A60" s="25" t="s">
        <v>1771</v>
      </c>
      <c r="B60" s="26"/>
      <c r="C60" s="26"/>
      <c r="D60" s="26"/>
    </row>
    <row r="61" ht="15.75" customHeight="1">
      <c r="A61" s="27" t="s">
        <v>1496</v>
      </c>
      <c r="B61" s="26"/>
      <c r="C61" s="26"/>
      <c r="D61" s="26"/>
    </row>
    <row r="62" ht="15.75" customHeight="1">
      <c r="A62" s="41" t="s">
        <v>1498</v>
      </c>
      <c r="B62" s="41" t="s">
        <v>1777</v>
      </c>
      <c r="C62" s="41" t="s">
        <v>1501</v>
      </c>
    </row>
    <row r="63" ht="15.75" customHeight="1">
      <c r="A63" s="13" t="s">
        <v>1502</v>
      </c>
      <c r="B63" s="13" t="s">
        <v>1778</v>
      </c>
      <c r="C63" s="13" t="s">
        <v>1780</v>
      </c>
    </row>
    <row r="64" ht="15.75" customHeight="1">
      <c r="A64" s="13" t="s">
        <v>1783</v>
      </c>
      <c r="B64" s="13" t="s">
        <v>1784</v>
      </c>
      <c r="C64" s="13" t="s">
        <v>1785</v>
      </c>
    </row>
    <row r="65" ht="15.75" customHeight="1">
      <c r="A65" s="13" t="s">
        <v>1786</v>
      </c>
      <c r="B65" s="13" t="s">
        <v>1787</v>
      </c>
      <c r="C65" s="13" t="s">
        <v>1788</v>
      </c>
    </row>
    <row r="66" ht="15.75" customHeight="1">
      <c r="A66" s="13" t="s">
        <v>1523</v>
      </c>
      <c r="B66" s="13" t="s">
        <v>1790</v>
      </c>
      <c r="C66" s="13" t="s">
        <v>1792</v>
      </c>
    </row>
    <row r="67" ht="15.75" customHeight="1">
      <c r="A67" s="13" t="s">
        <v>1795</v>
      </c>
      <c r="B67" s="13" t="s">
        <v>1797</v>
      </c>
      <c r="C67" s="13" t="s">
        <v>1799</v>
      </c>
    </row>
    <row r="68" ht="15.75" customHeight="1">
      <c r="A68" s="42" t="s">
        <v>665</v>
      </c>
    </row>
    <row r="69" ht="15.75" customHeight="1"/>
    <row r="70" ht="15.75" customHeight="1"/>
    <row r="71" ht="15.75" customHeight="1">
      <c r="A71" s="25" t="s">
        <v>1803</v>
      </c>
      <c r="B71" s="26"/>
      <c r="C71" s="26"/>
      <c r="D71" s="26"/>
      <c r="E71" s="26"/>
      <c r="F71" s="26"/>
      <c r="G71" s="26"/>
      <c r="H71" s="26"/>
      <c r="I71" s="26"/>
      <c r="J71" s="26"/>
      <c r="K71" s="26"/>
      <c r="L71" s="26"/>
    </row>
    <row r="72" ht="15.75" customHeight="1">
      <c r="A72" s="27" t="s">
        <v>1809</v>
      </c>
      <c r="B72" s="26"/>
      <c r="C72" s="26"/>
      <c r="D72" s="26"/>
      <c r="E72" s="26"/>
      <c r="F72" s="26"/>
      <c r="G72" s="26"/>
      <c r="H72" s="26"/>
      <c r="I72" s="26"/>
      <c r="J72" s="26"/>
      <c r="K72" s="26"/>
      <c r="L72" s="26"/>
    </row>
    <row r="73" ht="15.75" customHeight="1">
      <c r="A73" s="41" t="s">
        <v>1813</v>
      </c>
      <c r="B73" s="41"/>
      <c r="C73" s="41"/>
      <c r="D73" s="41"/>
      <c r="E73" s="41" t="s">
        <v>1761</v>
      </c>
      <c r="F73" s="41" t="s">
        <v>1763</v>
      </c>
      <c r="G73" s="41" t="s">
        <v>1763</v>
      </c>
      <c r="H73" s="41" t="s">
        <v>1761</v>
      </c>
      <c r="I73" s="41"/>
      <c r="J73" s="41"/>
      <c r="K73" s="41" t="s">
        <v>1761</v>
      </c>
      <c r="L73" s="44">
        <v>9.51</v>
      </c>
    </row>
    <row r="74" ht="15.75" customHeight="1">
      <c r="A74" s="13" t="s">
        <v>1153</v>
      </c>
      <c r="B74" s="13"/>
      <c r="C74" s="13"/>
      <c r="D74" s="13"/>
      <c r="E74" s="13" t="s">
        <v>1761</v>
      </c>
      <c r="F74" s="13" t="s">
        <v>1763</v>
      </c>
      <c r="G74" s="13" t="s">
        <v>1763</v>
      </c>
      <c r="H74" s="13" t="s">
        <v>1761</v>
      </c>
      <c r="I74" s="13"/>
      <c r="J74" s="13"/>
      <c r="K74" s="13" t="s">
        <v>1761</v>
      </c>
      <c r="L74" s="43">
        <v>4.85</v>
      </c>
    </row>
    <row r="75" ht="15.75" customHeight="1">
      <c r="A75" s="13" t="s">
        <v>1822</v>
      </c>
      <c r="B75" s="13"/>
      <c r="C75" s="13"/>
      <c r="D75" s="13"/>
      <c r="E75" s="13" t="s">
        <v>1761</v>
      </c>
      <c r="F75" s="13" t="s">
        <v>1763</v>
      </c>
      <c r="G75" s="13" t="s">
        <v>1763</v>
      </c>
      <c r="H75" s="13" t="s">
        <v>1761</v>
      </c>
      <c r="I75" s="13"/>
      <c r="J75" s="13"/>
      <c r="K75" s="13" t="s">
        <v>1761</v>
      </c>
      <c r="L75" s="43">
        <v>3.39</v>
      </c>
    </row>
    <row r="76" ht="15.75" customHeight="1">
      <c r="A76" s="13" t="s">
        <v>1824</v>
      </c>
      <c r="B76" s="13"/>
      <c r="C76" s="13"/>
      <c r="D76" s="13"/>
      <c r="E76" s="13" t="s">
        <v>1761</v>
      </c>
      <c r="F76" s="13" t="s">
        <v>1763</v>
      </c>
      <c r="G76" s="13" t="s">
        <v>1763</v>
      </c>
      <c r="H76" s="13" t="s">
        <v>1761</v>
      </c>
      <c r="I76" s="13"/>
      <c r="J76" s="13"/>
      <c r="K76" s="13" t="s">
        <v>1761</v>
      </c>
      <c r="L76" s="43">
        <v>2.8</v>
      </c>
    </row>
    <row r="77" ht="15.75" customHeight="1">
      <c r="A77" s="13" t="s">
        <v>1167</v>
      </c>
      <c r="B77" s="13"/>
      <c r="C77" s="13"/>
      <c r="D77" s="13"/>
      <c r="E77" s="13" t="s">
        <v>1761</v>
      </c>
      <c r="F77" s="13" t="s">
        <v>1763</v>
      </c>
      <c r="G77" s="13" t="s">
        <v>1763</v>
      </c>
      <c r="H77" s="13" t="s">
        <v>1761</v>
      </c>
      <c r="I77" s="13"/>
      <c r="J77" s="13"/>
      <c r="K77" s="13" t="s">
        <v>1761</v>
      </c>
      <c r="L77" s="43">
        <v>2.48</v>
      </c>
    </row>
    <row r="78" ht="15.75" customHeight="1">
      <c r="A78" s="13" t="s">
        <v>1847</v>
      </c>
      <c r="B78" s="13"/>
      <c r="C78" s="13"/>
      <c r="D78" s="13"/>
      <c r="E78" s="13" t="s">
        <v>1761</v>
      </c>
      <c r="F78" s="13" t="s">
        <v>1763</v>
      </c>
      <c r="G78" s="13" t="s">
        <v>1763</v>
      </c>
      <c r="H78" s="13" t="s">
        <v>1761</v>
      </c>
      <c r="I78" s="13"/>
      <c r="J78" s="13"/>
      <c r="K78" s="13" t="s">
        <v>1761</v>
      </c>
      <c r="L78" s="43">
        <v>1.77</v>
      </c>
    </row>
    <row r="79" ht="15.75" customHeight="1">
      <c r="A79" s="13" t="s">
        <v>1853</v>
      </c>
      <c r="B79" s="13"/>
      <c r="C79" s="13"/>
      <c r="D79" s="13"/>
      <c r="E79" s="13" t="s">
        <v>1761</v>
      </c>
      <c r="F79" s="13" t="s">
        <v>1763</v>
      </c>
      <c r="G79" s="13" t="s">
        <v>1763</v>
      </c>
      <c r="H79" s="13" t="s">
        <v>1761</v>
      </c>
      <c r="I79" s="13"/>
      <c r="J79" s="13"/>
      <c r="K79" s="13" t="s">
        <v>1761</v>
      </c>
      <c r="L79" s="43">
        <v>1.24</v>
      </c>
    </row>
    <row r="80" ht="15.75" customHeight="1">
      <c r="A80" s="13" t="s">
        <v>1165</v>
      </c>
      <c r="B80" s="13"/>
      <c r="C80" s="13"/>
      <c r="D80" s="13"/>
      <c r="E80" s="13" t="s">
        <v>1761</v>
      </c>
      <c r="F80" s="13" t="s">
        <v>1763</v>
      </c>
      <c r="G80" s="13" t="s">
        <v>1763</v>
      </c>
      <c r="H80" s="13" t="s">
        <v>1761</v>
      </c>
      <c r="I80" s="13"/>
      <c r="J80" s="13"/>
      <c r="K80" s="13" t="s">
        <v>1761</v>
      </c>
      <c r="L80" s="43">
        <v>1.15</v>
      </c>
    </row>
    <row r="81" ht="15.75" customHeight="1">
      <c r="A81" s="13" t="s">
        <v>1159</v>
      </c>
      <c r="B81" s="13"/>
      <c r="C81" s="13"/>
      <c r="D81" s="13"/>
      <c r="E81" s="13" t="s">
        <v>1761</v>
      </c>
      <c r="F81" s="13" t="s">
        <v>1763</v>
      </c>
      <c r="G81" s="13" t="s">
        <v>1763</v>
      </c>
      <c r="H81" s="13" t="s">
        <v>1761</v>
      </c>
      <c r="I81" s="13"/>
      <c r="J81" s="13"/>
      <c r="K81" s="13" t="s">
        <v>1761</v>
      </c>
      <c r="L81" s="43">
        <v>0.87</v>
      </c>
    </row>
    <row r="82" ht="15.75" customHeight="1">
      <c r="A82" s="13" t="s">
        <v>1857</v>
      </c>
      <c r="B82" s="13"/>
      <c r="C82" s="13"/>
      <c r="D82" s="13"/>
      <c r="E82" s="13" t="s">
        <v>1761</v>
      </c>
      <c r="F82" s="13" t="s">
        <v>1763</v>
      </c>
      <c r="G82" s="13" t="s">
        <v>1763</v>
      </c>
      <c r="H82" s="13" t="s">
        <v>1761</v>
      </c>
      <c r="I82" s="13"/>
      <c r="J82" s="13"/>
      <c r="K82" s="13" t="s">
        <v>1761</v>
      </c>
      <c r="L82" s="43">
        <v>0.79</v>
      </c>
    </row>
    <row r="83" ht="15.75" customHeight="1">
      <c r="A83" s="13" t="s">
        <v>1864</v>
      </c>
      <c r="B83" s="13"/>
      <c r="C83" s="13"/>
      <c r="D83" s="13"/>
      <c r="E83" s="13" t="s">
        <v>1761</v>
      </c>
      <c r="F83" s="13" t="s">
        <v>1763</v>
      </c>
      <c r="G83" s="13" t="s">
        <v>1763</v>
      </c>
      <c r="H83" s="13" t="s">
        <v>1761</v>
      </c>
      <c r="I83" s="13"/>
      <c r="J83" s="13"/>
      <c r="K83" s="13" t="s">
        <v>1761</v>
      </c>
      <c r="L83" s="43">
        <v>0.43</v>
      </c>
    </row>
    <row r="84" ht="15.75" customHeight="1">
      <c r="A84" s="13" t="s">
        <v>1875</v>
      </c>
      <c r="B84" s="13"/>
      <c r="C84" s="13"/>
      <c r="D84" s="13"/>
      <c r="E84" s="13" t="s">
        <v>1761</v>
      </c>
      <c r="F84" s="13" t="s">
        <v>1763</v>
      </c>
      <c r="G84" s="13" t="s">
        <v>1763</v>
      </c>
      <c r="H84" s="13" t="s">
        <v>1761</v>
      </c>
      <c r="I84" s="13"/>
      <c r="J84" s="13"/>
      <c r="K84" s="13" t="s">
        <v>1761</v>
      </c>
      <c r="L84" s="43">
        <v>0.33</v>
      </c>
    </row>
    <row r="85" ht="15.75" customHeight="1">
      <c r="A85" s="13" t="s">
        <v>1885</v>
      </c>
      <c r="B85" s="13"/>
      <c r="C85" s="13"/>
      <c r="D85" s="13"/>
      <c r="E85" s="13" t="s">
        <v>1761</v>
      </c>
      <c r="F85" s="13" t="s">
        <v>1763</v>
      </c>
      <c r="G85" s="13" t="s">
        <v>1763</v>
      </c>
      <c r="H85" s="13" t="s">
        <v>1761</v>
      </c>
      <c r="I85" s="13"/>
      <c r="J85" s="13"/>
      <c r="K85" s="13" t="s">
        <v>1761</v>
      </c>
      <c r="L85" s="43">
        <v>4.34</v>
      </c>
    </row>
    <row r="86" ht="15.75" customHeight="1">
      <c r="A86" s="42" t="s">
        <v>674</v>
      </c>
    </row>
    <row r="87" ht="15.75" customHeight="1"/>
    <row r="88" ht="15.75" customHeight="1"/>
    <row r="89" ht="15.75" customHeight="1">
      <c r="A89" s="25" t="s">
        <v>1886</v>
      </c>
      <c r="B89" s="26"/>
      <c r="C89" s="26"/>
      <c r="D89" s="26"/>
      <c r="E89" s="26"/>
      <c r="F89" s="26"/>
      <c r="G89" s="26"/>
      <c r="H89" s="26"/>
      <c r="I89" s="26"/>
      <c r="J89" s="26"/>
      <c r="K89" s="26"/>
      <c r="L89" s="26"/>
    </row>
    <row r="90" ht="15.75" customHeight="1">
      <c r="A90" s="27" t="s">
        <v>1887</v>
      </c>
      <c r="B90" s="26"/>
      <c r="C90" s="26"/>
      <c r="D90" s="26"/>
      <c r="E90" s="26"/>
      <c r="F90" s="26"/>
      <c r="G90" s="26"/>
      <c r="H90" s="26"/>
      <c r="I90" s="26"/>
      <c r="J90" s="26"/>
      <c r="K90" s="26"/>
      <c r="L90" s="26"/>
    </row>
    <row r="91" ht="15.75" customHeight="1">
      <c r="A91" s="41" t="s">
        <v>1888</v>
      </c>
      <c r="B91" s="41"/>
      <c r="C91" s="41"/>
      <c r="D91" s="41"/>
      <c r="E91" s="41" t="s">
        <v>1761</v>
      </c>
      <c r="F91" s="41" t="s">
        <v>1763</v>
      </c>
      <c r="G91" s="41" t="s">
        <v>1763</v>
      </c>
      <c r="H91" s="41" t="s">
        <v>1761</v>
      </c>
      <c r="I91" s="41"/>
      <c r="J91" s="41"/>
      <c r="K91" s="41" t="s">
        <v>1761</v>
      </c>
      <c r="L91" s="41" t="s">
        <v>1889</v>
      </c>
    </row>
    <row r="92" ht="15.75" customHeight="1">
      <c r="A92" s="13"/>
      <c r="B92" s="13"/>
      <c r="C92" s="13"/>
      <c r="D92" s="13" t="s">
        <v>1761</v>
      </c>
      <c r="E92" s="13" t="s">
        <v>1763</v>
      </c>
      <c r="F92" s="13" t="s">
        <v>1763</v>
      </c>
      <c r="G92" s="13" t="s">
        <v>1761</v>
      </c>
      <c r="H92" s="13"/>
      <c r="I92" s="13"/>
      <c r="J92" s="13" t="s">
        <v>1761</v>
      </c>
      <c r="K92" s="13" t="s">
        <v>1890</v>
      </c>
      <c r="L92" s="13"/>
    </row>
    <row r="93" ht="15.75" customHeight="1">
      <c r="A93" s="13" t="s">
        <v>1891</v>
      </c>
      <c r="B93" s="13"/>
      <c r="C93" s="13"/>
      <c r="D93" s="13"/>
      <c r="E93" s="13" t="s">
        <v>1761</v>
      </c>
      <c r="F93" s="13" t="s">
        <v>1763</v>
      </c>
      <c r="G93" s="13" t="s">
        <v>1763</v>
      </c>
      <c r="H93" s="13" t="s">
        <v>1761</v>
      </c>
      <c r="I93" s="13"/>
      <c r="J93" s="13"/>
      <c r="K93" s="13" t="s">
        <v>1761</v>
      </c>
      <c r="L93" s="13" t="s">
        <v>1892</v>
      </c>
    </row>
    <row r="94" ht="15.75" customHeight="1">
      <c r="A94" s="13"/>
      <c r="B94" s="13"/>
      <c r="C94" s="13"/>
      <c r="D94" s="13" t="s">
        <v>1761</v>
      </c>
      <c r="E94" s="13" t="s">
        <v>1763</v>
      </c>
      <c r="F94" s="13" t="s">
        <v>1763</v>
      </c>
      <c r="G94" s="13" t="s">
        <v>1761</v>
      </c>
      <c r="H94" s="13"/>
      <c r="I94" s="13"/>
      <c r="J94" s="13" t="s">
        <v>1761</v>
      </c>
      <c r="K94" s="13" t="s">
        <v>1893</v>
      </c>
      <c r="L94" s="13"/>
    </row>
    <row r="95" ht="15.75" customHeight="1">
      <c r="A95" s="13" t="s">
        <v>1894</v>
      </c>
      <c r="B95" s="13"/>
      <c r="C95" s="13"/>
      <c r="D95" s="13"/>
      <c r="E95" s="13" t="s">
        <v>1761</v>
      </c>
      <c r="F95" s="13" t="s">
        <v>1763</v>
      </c>
      <c r="G95" s="13" t="s">
        <v>1763</v>
      </c>
      <c r="H95" s="13" t="s">
        <v>1761</v>
      </c>
      <c r="I95" s="13"/>
      <c r="J95" s="13"/>
      <c r="K95" s="13" t="s">
        <v>1761</v>
      </c>
      <c r="L95" s="13" t="s">
        <v>1895</v>
      </c>
    </row>
    <row r="96" ht="15.75" customHeight="1">
      <c r="A96" s="13"/>
      <c r="B96" s="13"/>
      <c r="C96" s="13"/>
      <c r="D96" s="13" t="s">
        <v>1761</v>
      </c>
      <c r="E96" s="13" t="s">
        <v>1763</v>
      </c>
      <c r="F96" s="13" t="s">
        <v>1763</v>
      </c>
      <c r="G96" s="13" t="s">
        <v>1761</v>
      </c>
      <c r="H96" s="13"/>
      <c r="I96" s="13"/>
      <c r="J96" s="13" t="s">
        <v>1761</v>
      </c>
      <c r="K96" s="13" t="s">
        <v>1896</v>
      </c>
      <c r="L96" s="13"/>
    </row>
    <row r="97" ht="15.75" customHeight="1">
      <c r="A97" s="13" t="s">
        <v>1899</v>
      </c>
      <c r="B97" s="13"/>
      <c r="C97" s="13"/>
      <c r="D97" s="13"/>
      <c r="E97" s="13" t="s">
        <v>1761</v>
      </c>
      <c r="F97" s="13" t="s">
        <v>1763</v>
      </c>
      <c r="G97" s="13" t="s">
        <v>1763</v>
      </c>
      <c r="H97" s="13" t="s">
        <v>1761</v>
      </c>
      <c r="I97" s="13"/>
      <c r="J97" s="13"/>
      <c r="K97" s="13" t="s">
        <v>1761</v>
      </c>
      <c r="L97" s="13" t="s">
        <v>1900</v>
      </c>
    </row>
    <row r="98" ht="15.75" customHeight="1">
      <c r="A98" s="13"/>
      <c r="B98" s="13"/>
      <c r="C98" s="13"/>
      <c r="D98" s="13" t="s">
        <v>1761</v>
      </c>
      <c r="E98" s="13" t="s">
        <v>1763</v>
      </c>
      <c r="F98" s="13" t="s">
        <v>1763</v>
      </c>
      <c r="G98" s="13" t="s">
        <v>1761</v>
      </c>
      <c r="H98" s="13"/>
      <c r="I98" s="13"/>
      <c r="J98" s="13" t="s">
        <v>1761</v>
      </c>
      <c r="K98" s="13" t="s">
        <v>1901</v>
      </c>
      <c r="L98" s="13"/>
    </row>
    <row r="99" ht="15.75" customHeight="1"/>
    <row r="100" ht="15.75" customHeight="1"/>
    <row r="101" ht="15.75" customHeight="1">
      <c r="A101" s="25" t="s">
        <v>1903</v>
      </c>
      <c r="B101" s="26"/>
      <c r="C101" s="26"/>
      <c r="D101" s="26"/>
      <c r="E101" s="26"/>
      <c r="F101" s="26"/>
      <c r="G101" s="26"/>
      <c r="H101" s="26"/>
      <c r="I101" s="26"/>
      <c r="J101" s="26"/>
      <c r="K101" s="26"/>
      <c r="L101" s="26"/>
    </row>
    <row r="102" ht="15.75" customHeight="1">
      <c r="A102" s="27" t="s">
        <v>1906</v>
      </c>
      <c r="B102" s="26"/>
      <c r="C102" s="26"/>
      <c r="D102" s="26"/>
      <c r="E102" s="26"/>
      <c r="F102" s="26"/>
      <c r="G102" s="26"/>
      <c r="H102" s="26"/>
      <c r="I102" s="26"/>
      <c r="J102" s="26"/>
      <c r="K102" s="26"/>
      <c r="L102" s="26"/>
    </row>
    <row r="103" ht="15.75" customHeight="1">
      <c r="A103" s="41" t="s">
        <v>1813</v>
      </c>
      <c r="B103" s="41"/>
      <c r="C103" s="41"/>
      <c r="D103" s="41"/>
      <c r="E103" s="41" t="s">
        <v>1761</v>
      </c>
      <c r="F103" s="41" t="s">
        <v>1763</v>
      </c>
      <c r="G103" s="41" t="s">
        <v>1763</v>
      </c>
      <c r="H103" s="41" t="s">
        <v>1761</v>
      </c>
      <c r="I103" s="41"/>
      <c r="J103" s="41"/>
      <c r="K103" s="41" t="s">
        <v>1761</v>
      </c>
      <c r="L103" s="44">
        <v>48.6</v>
      </c>
    </row>
    <row r="104" ht="15.75" customHeight="1">
      <c r="A104" s="13" t="s">
        <v>1165</v>
      </c>
      <c r="B104" s="13"/>
      <c r="C104" s="13"/>
      <c r="D104" s="13"/>
      <c r="E104" s="13" t="s">
        <v>1761</v>
      </c>
      <c r="F104" s="13" t="s">
        <v>1763</v>
      </c>
      <c r="G104" s="13" t="s">
        <v>1763</v>
      </c>
      <c r="H104" s="13" t="s">
        <v>1761</v>
      </c>
      <c r="I104" s="13"/>
      <c r="J104" s="13"/>
      <c r="K104" s="13" t="s">
        <v>1761</v>
      </c>
      <c r="L104" s="43">
        <v>42.9</v>
      </c>
    </row>
    <row r="105" ht="15.75" customHeight="1">
      <c r="A105" s="13" t="s">
        <v>1159</v>
      </c>
      <c r="B105" s="13"/>
      <c r="C105" s="13"/>
      <c r="D105" s="13"/>
      <c r="E105" s="13" t="s">
        <v>1761</v>
      </c>
      <c r="F105" s="13" t="s">
        <v>1763</v>
      </c>
      <c r="G105" s="13" t="s">
        <v>1763</v>
      </c>
      <c r="H105" s="13" t="s">
        <v>1761</v>
      </c>
      <c r="I105" s="13"/>
      <c r="J105" s="13"/>
      <c r="K105" s="13" t="s">
        <v>1761</v>
      </c>
      <c r="L105" s="43">
        <v>32.7</v>
      </c>
    </row>
    <row r="106" ht="15.75" customHeight="1">
      <c r="A106" s="13" t="s">
        <v>1167</v>
      </c>
      <c r="B106" s="13"/>
      <c r="C106" s="13"/>
      <c r="D106" s="13"/>
      <c r="E106" s="13" t="s">
        <v>1761</v>
      </c>
      <c r="F106" s="13" t="s">
        <v>1763</v>
      </c>
      <c r="G106" s="13" t="s">
        <v>1763</v>
      </c>
      <c r="H106" s="13" t="s">
        <v>1761</v>
      </c>
      <c r="I106" s="13"/>
      <c r="J106" s="13"/>
      <c r="K106" s="13" t="s">
        <v>1761</v>
      </c>
      <c r="L106" s="43">
        <v>30.3</v>
      </c>
    </row>
    <row r="107" ht="15.75" customHeight="1">
      <c r="A107" s="13" t="s">
        <v>1153</v>
      </c>
      <c r="B107" s="13"/>
      <c r="C107" s="13"/>
      <c r="D107" s="13"/>
      <c r="E107" s="13" t="s">
        <v>1761</v>
      </c>
      <c r="F107" s="13" t="s">
        <v>1763</v>
      </c>
      <c r="G107" s="13" t="s">
        <v>1763</v>
      </c>
      <c r="H107" s="13" t="s">
        <v>1761</v>
      </c>
      <c r="I107" s="13"/>
      <c r="J107" s="13"/>
      <c r="K107" s="13" t="s">
        <v>1761</v>
      </c>
      <c r="L107" s="43">
        <v>26.1</v>
      </c>
    </row>
    <row r="108" ht="15.75" customHeight="1">
      <c r="A108" s="13" t="s">
        <v>1847</v>
      </c>
      <c r="B108" s="13"/>
      <c r="C108" s="13"/>
      <c r="D108" s="13"/>
      <c r="E108" s="13" t="s">
        <v>1761</v>
      </c>
      <c r="F108" s="13" t="s">
        <v>1763</v>
      </c>
      <c r="G108" s="13" t="s">
        <v>1763</v>
      </c>
      <c r="H108" s="13" t="s">
        <v>1761</v>
      </c>
      <c r="I108" s="13"/>
      <c r="J108" s="13"/>
      <c r="K108" s="13" t="s">
        <v>1761</v>
      </c>
      <c r="L108" s="43">
        <v>25.5</v>
      </c>
    </row>
    <row r="109" ht="15.75" customHeight="1">
      <c r="A109" s="13" t="s">
        <v>1857</v>
      </c>
      <c r="B109" s="13"/>
      <c r="C109" s="13"/>
      <c r="D109" s="13"/>
      <c r="E109" s="13" t="s">
        <v>1761</v>
      </c>
      <c r="F109" s="13" t="s">
        <v>1763</v>
      </c>
      <c r="G109" s="13" t="s">
        <v>1763</v>
      </c>
      <c r="H109" s="13" t="s">
        <v>1761</v>
      </c>
      <c r="I109" s="13"/>
      <c r="J109" s="13"/>
      <c r="K109" s="13" t="s">
        <v>1761</v>
      </c>
      <c r="L109" s="43">
        <v>23.6</v>
      </c>
    </row>
    <row r="110" ht="15.75" customHeight="1">
      <c r="A110" s="13" t="s">
        <v>1864</v>
      </c>
      <c r="B110" s="13"/>
      <c r="C110" s="13"/>
      <c r="D110" s="13"/>
      <c r="E110" s="13" t="s">
        <v>1761</v>
      </c>
      <c r="F110" s="13" t="s">
        <v>1763</v>
      </c>
      <c r="G110" s="13" t="s">
        <v>1763</v>
      </c>
      <c r="H110" s="13" t="s">
        <v>1761</v>
      </c>
      <c r="I110" s="13"/>
      <c r="J110" s="13"/>
      <c r="K110" s="13" t="s">
        <v>1761</v>
      </c>
      <c r="L110" s="43">
        <v>19.6</v>
      </c>
    </row>
    <row r="111" ht="15.75" customHeight="1">
      <c r="A111" s="13" t="s">
        <v>1824</v>
      </c>
      <c r="B111" s="13"/>
      <c r="C111" s="13"/>
      <c r="D111" s="13"/>
      <c r="E111" s="13" t="s">
        <v>1761</v>
      </c>
      <c r="F111" s="13" t="s">
        <v>1763</v>
      </c>
      <c r="G111" s="13" t="s">
        <v>1763</v>
      </c>
      <c r="H111" s="13" t="s">
        <v>1761</v>
      </c>
      <c r="I111" s="13"/>
      <c r="J111" s="13"/>
      <c r="K111" s="13" t="s">
        <v>1761</v>
      </c>
      <c r="L111" s="43">
        <v>17.6</v>
      </c>
    </row>
    <row r="112" ht="15.75" customHeight="1">
      <c r="A112" s="13" t="s">
        <v>1853</v>
      </c>
      <c r="B112" s="13"/>
      <c r="C112" s="13"/>
      <c r="D112" s="13"/>
      <c r="E112" s="13" t="s">
        <v>1761</v>
      </c>
      <c r="F112" s="13" t="s">
        <v>1763</v>
      </c>
      <c r="G112" s="13" t="s">
        <v>1763</v>
      </c>
      <c r="H112" s="13" t="s">
        <v>1761</v>
      </c>
      <c r="I112" s="13"/>
      <c r="J112" s="13"/>
      <c r="K112" s="13" t="s">
        <v>1761</v>
      </c>
      <c r="L112" s="43">
        <v>15.3</v>
      </c>
    </row>
    <row r="113" ht="15.75" customHeight="1">
      <c r="A113" s="13" t="s">
        <v>1822</v>
      </c>
      <c r="B113" s="13"/>
      <c r="C113" s="13"/>
      <c r="D113" s="13"/>
      <c r="E113" s="13" t="s">
        <v>1761</v>
      </c>
      <c r="F113" s="13" t="s">
        <v>1763</v>
      </c>
      <c r="G113" s="13" t="s">
        <v>1763</v>
      </c>
      <c r="H113" s="13" t="s">
        <v>1761</v>
      </c>
      <c r="I113" s="13"/>
      <c r="J113" s="13"/>
      <c r="K113" s="13" t="s">
        <v>1761</v>
      </c>
      <c r="L113" s="43">
        <v>11.3</v>
      </c>
    </row>
    <row r="114" ht="15.75" customHeight="1">
      <c r="A114" s="13" t="s">
        <v>1875</v>
      </c>
      <c r="B114" s="13"/>
      <c r="C114" s="13"/>
      <c r="D114" s="13"/>
      <c r="E114" s="13" t="s">
        <v>1761</v>
      </c>
      <c r="F114" s="13" t="s">
        <v>1763</v>
      </c>
      <c r="G114" s="13" t="s">
        <v>1763</v>
      </c>
      <c r="H114" s="13" t="s">
        <v>1761</v>
      </c>
      <c r="I114" s="13"/>
      <c r="J114" s="13"/>
      <c r="K114" s="13" t="s">
        <v>1761</v>
      </c>
      <c r="L114" s="43">
        <v>11.2</v>
      </c>
    </row>
    <row r="115" ht="15.75" customHeight="1">
      <c r="A115" s="13" t="s">
        <v>1925</v>
      </c>
      <c r="B115" s="13"/>
      <c r="C115" s="13"/>
      <c r="D115" s="13"/>
      <c r="E115" s="13" t="s">
        <v>1761</v>
      </c>
      <c r="F115" s="13" t="s">
        <v>1763</v>
      </c>
      <c r="G115" s="13" t="s">
        <v>1763</v>
      </c>
      <c r="H115" s="13" t="s">
        <v>1761</v>
      </c>
      <c r="I115" s="13"/>
      <c r="J115" s="13"/>
      <c r="K115" s="13" t="s">
        <v>1761</v>
      </c>
      <c r="L115" s="43">
        <v>27.7</v>
      </c>
    </row>
    <row r="116" ht="15.75" customHeight="1">
      <c r="A116" s="42" t="s">
        <v>686</v>
      </c>
    </row>
    <row r="117" ht="15.75" customHeight="1"/>
    <row r="118" ht="15.75" customHeight="1"/>
    <row r="119" ht="15.75" customHeight="1">
      <c r="A119" s="25" t="s">
        <v>1926</v>
      </c>
      <c r="B119" s="26"/>
      <c r="C119" s="26"/>
      <c r="D119" s="26"/>
    </row>
    <row r="120" ht="15.75" customHeight="1">
      <c r="A120" s="27" t="s">
        <v>1927</v>
      </c>
      <c r="B120" s="26"/>
      <c r="C120" s="26"/>
      <c r="D120" s="26"/>
    </row>
    <row r="121" ht="15.75" customHeight="1">
      <c r="A121" s="41" t="s">
        <v>1498</v>
      </c>
      <c r="B121" s="41" t="s">
        <v>1928</v>
      </c>
      <c r="C121" s="41" t="s">
        <v>1929</v>
      </c>
      <c r="D121" s="41" t="s">
        <v>1930</v>
      </c>
    </row>
    <row r="122" ht="15.75" customHeight="1">
      <c r="A122" s="13" t="s">
        <v>1932</v>
      </c>
      <c r="B122" s="13" t="s">
        <v>1933</v>
      </c>
      <c r="C122" s="13" t="s">
        <v>1934</v>
      </c>
      <c r="D122" s="13" t="s">
        <v>1936</v>
      </c>
    </row>
    <row r="123" ht="15.75" customHeight="1">
      <c r="A123" s="13" t="s">
        <v>1510</v>
      </c>
      <c r="B123" s="13" t="s">
        <v>1938</v>
      </c>
      <c r="C123" s="13" t="s">
        <v>1939</v>
      </c>
      <c r="D123" s="13" t="s">
        <v>1941</v>
      </c>
    </row>
    <row r="124" ht="15.75" customHeight="1">
      <c r="A124" s="13" t="s">
        <v>1516</v>
      </c>
      <c r="B124" s="13" t="s">
        <v>1943</v>
      </c>
      <c r="C124" s="13" t="s">
        <v>1945</v>
      </c>
      <c r="D124" s="13" t="s">
        <v>1946</v>
      </c>
    </row>
    <row r="125" ht="15.75" customHeight="1">
      <c r="A125" s="13" t="s">
        <v>1947</v>
      </c>
      <c r="B125" s="13" t="s">
        <v>1948</v>
      </c>
      <c r="C125" s="13" t="s">
        <v>1949</v>
      </c>
      <c r="D125" s="13" t="s">
        <v>1950</v>
      </c>
    </row>
    <row r="126" ht="15.75" customHeight="1">
      <c r="A126" s="13" t="s">
        <v>1786</v>
      </c>
      <c r="B126" s="13" t="s">
        <v>1952</v>
      </c>
      <c r="C126" s="13" t="s">
        <v>1953</v>
      </c>
      <c r="D126" s="13" t="s">
        <v>1954</v>
      </c>
    </row>
    <row r="127" ht="15.75" customHeight="1">
      <c r="A127" s="42" t="s">
        <v>875</v>
      </c>
    </row>
    <row r="128" ht="15.75" customHeight="1"/>
    <row r="129" ht="15.75" customHeight="1"/>
    <row r="130" ht="15.75" customHeight="1">
      <c r="A130" s="25" t="s">
        <v>1956</v>
      </c>
      <c r="B130" s="26"/>
      <c r="C130" s="26"/>
      <c r="D130" s="26"/>
    </row>
    <row r="131" ht="15.75" customHeight="1">
      <c r="A131" s="27" t="s">
        <v>1694</v>
      </c>
      <c r="B131" s="26"/>
      <c r="C131" s="26"/>
      <c r="D131" s="26"/>
    </row>
    <row r="132" ht="15.75" customHeight="1">
      <c r="A132" s="41" t="s">
        <v>1960</v>
      </c>
      <c r="B132" s="41" t="s">
        <v>1961</v>
      </c>
    </row>
    <row r="133" ht="15.75" customHeight="1">
      <c r="A133" s="42" t="s">
        <v>882</v>
      </c>
    </row>
    <row r="134" ht="15.75" customHeight="1"/>
    <row r="135" ht="15.75" customHeight="1"/>
    <row r="136" ht="15.75" customHeight="1">
      <c r="A136" s="25" t="s">
        <v>1962</v>
      </c>
      <c r="B136" s="26"/>
      <c r="C136" s="26"/>
      <c r="D136" s="26"/>
    </row>
    <row r="137" ht="15.75" customHeight="1">
      <c r="A137" s="27" t="s">
        <v>1964</v>
      </c>
      <c r="B137" s="26"/>
      <c r="C137" s="26"/>
      <c r="D137" s="26"/>
    </row>
    <row r="138" ht="15.75" customHeight="1">
      <c r="A138" s="41" t="s">
        <v>1498</v>
      </c>
      <c r="B138" s="41" t="s">
        <v>1966</v>
      </c>
      <c r="C138" s="41" t="s">
        <v>1967</v>
      </c>
      <c r="D138" s="41" t="s">
        <v>1968</v>
      </c>
    </row>
    <row r="139" ht="15.75" customHeight="1">
      <c r="A139" s="13" t="s">
        <v>1502</v>
      </c>
      <c r="B139" s="13" t="s">
        <v>1969</v>
      </c>
      <c r="C139" s="13" t="s">
        <v>344</v>
      </c>
      <c r="D139" s="13" t="s">
        <v>1970</v>
      </c>
    </row>
    <row r="140" ht="15.75" customHeight="1">
      <c r="A140" s="13" t="s">
        <v>1510</v>
      </c>
      <c r="B140" s="13" t="s">
        <v>1972</v>
      </c>
      <c r="C140" s="13" t="s">
        <v>344</v>
      </c>
      <c r="D140" s="13" t="s">
        <v>1973</v>
      </c>
    </row>
    <row r="141" ht="15.75" customHeight="1">
      <c r="A141" s="13" t="s">
        <v>1974</v>
      </c>
      <c r="B141" s="13" t="s">
        <v>1975</v>
      </c>
      <c r="C141" s="13" t="s">
        <v>344</v>
      </c>
      <c r="D141" s="13" t="s">
        <v>1976</v>
      </c>
    </row>
    <row r="142" ht="15.75" customHeight="1">
      <c r="A142" s="13" t="s">
        <v>1977</v>
      </c>
      <c r="B142" s="13" t="s">
        <v>1978</v>
      </c>
      <c r="C142" s="13" t="s">
        <v>344</v>
      </c>
      <c r="D142" s="13" t="s">
        <v>1973</v>
      </c>
    </row>
    <row r="143" ht="15.75" customHeight="1">
      <c r="A143" s="13" t="s">
        <v>1980</v>
      </c>
      <c r="B143" s="13" t="s">
        <v>1981</v>
      </c>
      <c r="C143" s="13" t="s">
        <v>1982</v>
      </c>
      <c r="D143" s="13" t="s">
        <v>1983</v>
      </c>
    </row>
    <row r="144" ht="15.75" customHeight="1">
      <c r="A144" s="13" t="s">
        <v>1984</v>
      </c>
      <c r="B144" s="13" t="s">
        <v>1985</v>
      </c>
      <c r="C144" s="13" t="s">
        <v>1982</v>
      </c>
      <c r="D144" s="13" t="s">
        <v>1986</v>
      </c>
    </row>
    <row r="145" ht="15.75" customHeight="1">
      <c r="A145" s="13" t="s">
        <v>1535</v>
      </c>
      <c r="B145" s="13" t="s">
        <v>1987</v>
      </c>
      <c r="C145" s="13" t="s">
        <v>1989</v>
      </c>
      <c r="D145" s="13" t="s">
        <v>1992</v>
      </c>
    </row>
    <row r="146" ht="15.75" customHeight="1">
      <c r="A146" s="13" t="s">
        <v>1993</v>
      </c>
      <c r="B146" s="13" t="s">
        <v>1994</v>
      </c>
      <c r="C146" s="13" t="s">
        <v>1989</v>
      </c>
      <c r="D146" s="13" t="s">
        <v>1995</v>
      </c>
    </row>
    <row r="147" ht="15.75" customHeight="1">
      <c r="A147" s="13" t="s">
        <v>1996</v>
      </c>
      <c r="B147" s="13" t="s">
        <v>1997</v>
      </c>
      <c r="C147" s="13" t="s">
        <v>1982</v>
      </c>
      <c r="D147" s="13" t="s">
        <v>1999</v>
      </c>
    </row>
    <row r="148" ht="15.75" customHeight="1">
      <c r="A148" s="13" t="s">
        <v>2000</v>
      </c>
      <c r="B148" s="13" t="s">
        <v>2001</v>
      </c>
      <c r="C148" s="13" t="s">
        <v>1982</v>
      </c>
      <c r="D148" s="13" t="s">
        <v>2002</v>
      </c>
    </row>
    <row r="149" ht="15.75" customHeight="1">
      <c r="A149" s="42" t="s">
        <v>964</v>
      </c>
    </row>
    <row r="150" ht="15.75" customHeight="1"/>
    <row r="151" ht="15.75" customHeight="1"/>
    <row r="152" ht="15.75" customHeight="1">
      <c r="A152" s="25" t="s">
        <v>2003</v>
      </c>
      <c r="B152" s="26"/>
      <c r="C152" s="26"/>
      <c r="D152" s="26"/>
      <c r="E152" s="26"/>
      <c r="F152" s="26"/>
      <c r="G152" s="26"/>
      <c r="H152" s="26"/>
      <c r="I152" s="26"/>
    </row>
    <row r="153" ht="15.75" customHeight="1">
      <c r="A153" s="27" t="s">
        <v>2005</v>
      </c>
      <c r="B153" s="26"/>
      <c r="C153" s="26"/>
      <c r="D153" s="26"/>
      <c r="E153" s="26"/>
      <c r="F153" s="26"/>
      <c r="G153" s="26"/>
      <c r="H153" s="26"/>
      <c r="I153" s="26"/>
    </row>
    <row r="154" ht="15.75" customHeight="1">
      <c r="A154" s="41" t="s">
        <v>2007</v>
      </c>
      <c r="B154" s="41" t="s">
        <v>2008</v>
      </c>
      <c r="C154" s="41" t="s">
        <v>2009</v>
      </c>
      <c r="D154" s="41" t="s">
        <v>2010</v>
      </c>
      <c r="E154" s="41" t="s">
        <v>2012</v>
      </c>
      <c r="F154" s="41" t="s">
        <v>2013</v>
      </c>
      <c r="G154" s="41" t="s">
        <v>2014</v>
      </c>
      <c r="H154" s="41" t="s">
        <v>2015</v>
      </c>
      <c r="I154" s="41" t="s">
        <v>2016</v>
      </c>
    </row>
    <row r="155" ht="15.75" customHeight="1">
      <c r="A155" s="13" t="s">
        <v>2018</v>
      </c>
      <c r="B155" s="43">
        <v>124717.0</v>
      </c>
      <c r="C155" s="43">
        <v>5.59</v>
      </c>
      <c r="D155" s="43">
        <v>0.0</v>
      </c>
      <c r="E155" s="43">
        <v>100.0</v>
      </c>
      <c r="F155" s="43">
        <v>0.0</v>
      </c>
      <c r="G155" s="43">
        <v>44.63</v>
      </c>
      <c r="H155" s="43">
        <v>90.53</v>
      </c>
      <c r="I155" s="43">
        <v>18.95</v>
      </c>
    </row>
    <row r="156" ht="15.75" customHeight="1">
      <c r="A156" s="13" t="s">
        <v>2020</v>
      </c>
      <c r="B156" s="43">
        <v>124702.0</v>
      </c>
      <c r="C156" s="43">
        <v>29.19</v>
      </c>
      <c r="D156" s="43">
        <v>0.0</v>
      </c>
      <c r="E156" s="43">
        <v>0.0</v>
      </c>
      <c r="F156" s="43">
        <v>0.0</v>
      </c>
      <c r="G156" s="43">
        <v>47.22</v>
      </c>
      <c r="H156" s="43">
        <v>82.2</v>
      </c>
      <c r="I156" s="43">
        <v>32.56</v>
      </c>
    </row>
    <row r="157" ht="15.75" customHeight="1">
      <c r="A157" s="13" t="s">
        <v>2022</v>
      </c>
      <c r="B157" s="43">
        <v>124703.0</v>
      </c>
      <c r="C157" s="43">
        <v>7.08</v>
      </c>
      <c r="D157" s="43">
        <v>0.0</v>
      </c>
      <c r="E157" s="43">
        <v>100.0</v>
      </c>
      <c r="F157" s="43">
        <v>100.0</v>
      </c>
      <c r="G157" s="43">
        <v>48.76</v>
      </c>
      <c r="H157" s="43">
        <v>82.17</v>
      </c>
      <c r="I157" s="43">
        <v>93.52</v>
      </c>
    </row>
    <row r="158" ht="15.75" customHeight="1">
      <c r="A158" s="13" t="s">
        <v>2024</v>
      </c>
      <c r="B158" s="43">
        <v>124709.0</v>
      </c>
      <c r="C158" s="13" t="s">
        <v>2025</v>
      </c>
      <c r="D158" s="43">
        <v>100.0</v>
      </c>
      <c r="E158" s="43">
        <v>100.0</v>
      </c>
      <c r="F158" s="43">
        <v>0.0</v>
      </c>
      <c r="G158" s="43">
        <v>38.04</v>
      </c>
      <c r="H158" s="43">
        <v>91.58</v>
      </c>
      <c r="I158" s="43">
        <v>45.99</v>
      </c>
    </row>
    <row r="159" ht="15.75" customHeight="1">
      <c r="A159" s="13" t="s">
        <v>2028</v>
      </c>
      <c r="B159" s="43">
        <v>124711.0</v>
      </c>
      <c r="C159" s="43">
        <v>10.12</v>
      </c>
      <c r="D159" s="43">
        <v>100.0</v>
      </c>
      <c r="E159" s="43">
        <v>100.0</v>
      </c>
      <c r="F159" s="43">
        <v>100.0</v>
      </c>
      <c r="G159" s="43">
        <v>37.91</v>
      </c>
      <c r="H159" s="43">
        <v>98.95</v>
      </c>
      <c r="I159" s="43">
        <v>0.13</v>
      </c>
    </row>
    <row r="160" ht="15.75" customHeight="1">
      <c r="A160" s="13" t="s">
        <v>2030</v>
      </c>
      <c r="B160" s="43">
        <v>124712.0</v>
      </c>
      <c r="C160" s="43">
        <v>10.29</v>
      </c>
      <c r="D160" s="43">
        <v>0.0</v>
      </c>
      <c r="E160" s="43">
        <v>100.0</v>
      </c>
      <c r="F160" s="43">
        <v>0.0</v>
      </c>
      <c r="G160" s="43">
        <v>30.73</v>
      </c>
      <c r="H160" s="43">
        <v>88.79</v>
      </c>
      <c r="I160" s="43">
        <v>19.86</v>
      </c>
    </row>
    <row r="161" ht="15.75" customHeight="1">
      <c r="A161" s="42" t="s">
        <v>967</v>
      </c>
    </row>
    <row r="162" ht="15.75" customHeight="1"/>
    <row r="163" ht="15.75" customHeight="1"/>
    <row r="164" ht="15.75" customHeight="1">
      <c r="A164" s="25" t="s">
        <v>2032</v>
      </c>
      <c r="B164" s="26"/>
      <c r="C164" s="26"/>
      <c r="D164" s="26"/>
    </row>
    <row r="165" ht="15.75" customHeight="1">
      <c r="A165" s="27" t="s">
        <v>2033</v>
      </c>
      <c r="B165" s="26"/>
      <c r="C165" s="26"/>
      <c r="D165" s="26"/>
    </row>
    <row r="166" ht="15.75" customHeight="1">
      <c r="A166" s="41" t="s">
        <v>2034</v>
      </c>
      <c r="B166" s="41" t="s">
        <v>2035</v>
      </c>
      <c r="C166" s="41" t="s">
        <v>2036</v>
      </c>
      <c r="D166" s="41" t="s">
        <v>2037</v>
      </c>
    </row>
    <row r="167" ht="15.75" customHeight="1">
      <c r="A167" s="13" t="s">
        <v>2038</v>
      </c>
      <c r="B167" s="43">
        <v>3.0</v>
      </c>
      <c r="C167" s="43">
        <v>12.0</v>
      </c>
      <c r="D167" s="13" t="s">
        <v>2040</v>
      </c>
    </row>
    <row r="168" ht="15.75" customHeight="1">
      <c r="A168" s="13" t="s">
        <v>2042</v>
      </c>
      <c r="B168" s="43">
        <v>78.6</v>
      </c>
      <c r="C168" s="43">
        <v>65.5</v>
      </c>
      <c r="D168" s="13" t="s">
        <v>2044</v>
      </c>
    </row>
    <row r="169" ht="15.75" customHeight="1">
      <c r="A169" s="13" t="s">
        <v>2045</v>
      </c>
      <c r="B169" s="43">
        <v>71.3</v>
      </c>
      <c r="C169" s="43">
        <v>53.1</v>
      </c>
      <c r="D169" s="13" t="s">
        <v>2046</v>
      </c>
    </row>
    <row r="170" ht="15.75" customHeight="1">
      <c r="A170" s="13" t="s">
        <v>2049</v>
      </c>
      <c r="B170" s="43">
        <v>40.5</v>
      </c>
      <c r="C170" s="43">
        <v>49.8</v>
      </c>
      <c r="D170" s="13" t="s">
        <v>2051</v>
      </c>
    </row>
    <row r="171" ht="15.75" customHeight="1">
      <c r="A171" s="13" t="s">
        <v>2052</v>
      </c>
      <c r="B171" s="43">
        <v>81.0</v>
      </c>
      <c r="C171" s="43">
        <v>79.1</v>
      </c>
      <c r="D171" s="13" t="s">
        <v>2054</v>
      </c>
    </row>
    <row r="172" ht="15.75" customHeight="1">
      <c r="A172" s="13" t="s">
        <v>2056</v>
      </c>
      <c r="B172" s="43">
        <v>21.0</v>
      </c>
      <c r="C172" s="43">
        <v>12.0</v>
      </c>
      <c r="D172" s="13" t="s">
        <v>2058</v>
      </c>
    </row>
    <row r="173" ht="15.75" customHeight="1">
      <c r="A173" s="13" t="s">
        <v>2059</v>
      </c>
      <c r="B173" s="43">
        <v>96.3</v>
      </c>
      <c r="C173" s="43">
        <v>95.8</v>
      </c>
      <c r="D173" s="13" t="s">
        <v>2060</v>
      </c>
    </row>
    <row r="174" ht="15.75" customHeight="1">
      <c r="A174" s="13" t="s">
        <v>2061</v>
      </c>
      <c r="B174" s="43">
        <v>46.6</v>
      </c>
      <c r="C174" s="43">
        <v>47.3</v>
      </c>
      <c r="D174" s="13" t="s">
        <v>2062</v>
      </c>
    </row>
    <row r="175" ht="15.75" customHeight="1">
      <c r="A175" s="13" t="s">
        <v>2063</v>
      </c>
      <c r="B175" s="43">
        <v>994.0</v>
      </c>
      <c r="C175" s="43">
        <v>1155.0</v>
      </c>
      <c r="D175" s="13" t="s">
        <v>2064</v>
      </c>
    </row>
    <row r="176" ht="15.75" customHeight="1">
      <c r="A176" s="13" t="s">
        <v>2065</v>
      </c>
      <c r="B176" s="13" t="s">
        <v>2066</v>
      </c>
      <c r="C176" s="13" t="s">
        <v>2067</v>
      </c>
      <c r="D176" s="13" t="s">
        <v>2068</v>
      </c>
    </row>
    <row r="177" ht="15.75" customHeight="1">
      <c r="A177" s="13" t="s">
        <v>2069</v>
      </c>
      <c r="B177" s="43">
        <v>31.5</v>
      </c>
      <c r="C177" s="43">
        <v>19.2</v>
      </c>
      <c r="D177" s="13" t="s">
        <v>2070</v>
      </c>
    </row>
    <row r="178" ht="15.75" customHeight="1">
      <c r="A178" s="13" t="s">
        <v>2071</v>
      </c>
      <c r="B178" s="43">
        <v>40.1</v>
      </c>
      <c r="C178" s="43">
        <v>39.1</v>
      </c>
      <c r="D178" s="13" t="s">
        <v>2073</v>
      </c>
    </row>
    <row r="179" ht="15.75" customHeight="1">
      <c r="A179" s="42" t="s">
        <v>969</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13" width="26.0"/>
    <col customWidth="1" min="14" max="26" width="8.71"/>
  </cols>
  <sheetData>
    <row r="1">
      <c r="A1" s="12" t="s">
        <v>1551</v>
      </c>
    </row>
    <row r="2">
      <c r="A2" s="24" t="s">
        <v>1555</v>
      </c>
    </row>
    <row r="4">
      <c r="A4" s="25" t="s">
        <v>1251</v>
      </c>
      <c r="B4" s="26"/>
      <c r="C4" s="26"/>
      <c r="D4" s="26"/>
      <c r="E4" s="26"/>
      <c r="F4" s="26"/>
      <c r="G4" s="26"/>
    </row>
    <row r="5">
      <c r="A5" s="27" t="s">
        <v>1564</v>
      </c>
      <c r="B5" s="26"/>
      <c r="C5" s="26"/>
      <c r="D5" s="26"/>
      <c r="E5" s="26"/>
      <c r="F5" s="26"/>
      <c r="G5" s="26"/>
    </row>
    <row r="6">
      <c r="A6" s="41" t="s">
        <v>1568</v>
      </c>
      <c r="B6" s="41"/>
      <c r="C6" s="41" t="s">
        <v>1569</v>
      </c>
      <c r="D6" s="41"/>
      <c r="E6" s="41" t="s">
        <v>1571</v>
      </c>
      <c r="F6" s="41"/>
      <c r="G6" s="41" t="s">
        <v>1574</v>
      </c>
    </row>
    <row r="9">
      <c r="A9" s="25" t="s">
        <v>1205</v>
      </c>
      <c r="B9" s="26"/>
      <c r="C9" s="26"/>
      <c r="D9" s="26"/>
      <c r="E9" s="26"/>
      <c r="F9" s="26"/>
    </row>
    <row r="10">
      <c r="A10" s="27" t="s">
        <v>1210</v>
      </c>
      <c r="B10" s="26"/>
      <c r="C10" s="26"/>
      <c r="D10" s="26"/>
      <c r="E10" s="26"/>
      <c r="F10" s="26"/>
    </row>
    <row r="11">
      <c r="A11" s="41" t="s">
        <v>547</v>
      </c>
      <c r="B11" s="41" t="s">
        <v>715</v>
      </c>
      <c r="C11" s="41" t="s">
        <v>1216</v>
      </c>
      <c r="D11" s="41" t="s">
        <v>255</v>
      </c>
      <c r="E11" s="41" t="s">
        <v>1599</v>
      </c>
      <c r="F11" s="41" t="s">
        <v>1602</v>
      </c>
    </row>
    <row r="12">
      <c r="A12" s="13" t="s">
        <v>526</v>
      </c>
      <c r="B12" s="13" t="s">
        <v>1606</v>
      </c>
      <c r="C12" s="43">
        <v>128.0</v>
      </c>
      <c r="D12" s="43">
        <v>11.0</v>
      </c>
      <c r="E12" s="13" t="s">
        <v>1232</v>
      </c>
      <c r="F12" s="13" t="s">
        <v>1233</v>
      </c>
    </row>
    <row r="13">
      <c r="A13" s="13" t="s">
        <v>644</v>
      </c>
      <c r="B13" s="43">
        <v>287.0</v>
      </c>
      <c r="C13" s="43">
        <v>155.0</v>
      </c>
      <c r="D13" s="43">
        <v>54.0</v>
      </c>
      <c r="E13" s="13" t="s">
        <v>1240</v>
      </c>
      <c r="F13" s="13" t="s">
        <v>1241</v>
      </c>
    </row>
    <row r="14">
      <c r="A14" s="13" t="s">
        <v>622</v>
      </c>
      <c r="B14" s="43">
        <v>221.0</v>
      </c>
      <c r="C14" s="43">
        <v>175.0</v>
      </c>
      <c r="D14" s="43">
        <v>79.2</v>
      </c>
      <c r="E14" s="13" t="s">
        <v>1242</v>
      </c>
      <c r="F14" s="13" t="s">
        <v>1243</v>
      </c>
    </row>
    <row r="15">
      <c r="A15" s="13" t="s">
        <v>668</v>
      </c>
      <c r="B15" s="43">
        <v>63.0</v>
      </c>
      <c r="C15" s="43">
        <v>57.0</v>
      </c>
      <c r="D15" s="13" t="s">
        <v>1622</v>
      </c>
      <c r="E15" s="13" t="s">
        <v>1246</v>
      </c>
      <c r="F15" s="13" t="s">
        <v>1247</v>
      </c>
    </row>
    <row r="18">
      <c r="A18" s="25" t="s">
        <v>1150</v>
      </c>
      <c r="B18" s="26"/>
      <c r="C18" s="26"/>
      <c r="D18" s="26"/>
      <c r="E18" s="26"/>
      <c r="F18" s="26"/>
    </row>
    <row r="19">
      <c r="A19" s="27" t="s">
        <v>1158</v>
      </c>
      <c r="B19" s="26"/>
      <c r="C19" s="26"/>
      <c r="D19" s="26"/>
      <c r="E19" s="26"/>
      <c r="F19" s="26"/>
    </row>
    <row r="20">
      <c r="A20" s="41" t="s">
        <v>547</v>
      </c>
      <c r="B20" s="41" t="s">
        <v>1168</v>
      </c>
      <c r="C20" s="41" t="s">
        <v>1172</v>
      </c>
      <c r="D20" s="41" t="s">
        <v>1173</v>
      </c>
      <c r="E20" s="41" t="s">
        <v>1175</v>
      </c>
      <c r="F20" s="41" t="s">
        <v>1176</v>
      </c>
    </row>
    <row r="21" ht="15.75" customHeight="1">
      <c r="A21" s="13" t="s">
        <v>526</v>
      </c>
      <c r="B21" s="43">
        <v>44.0</v>
      </c>
      <c r="C21" s="43">
        <v>68.0</v>
      </c>
      <c r="D21" s="43">
        <v>24.0</v>
      </c>
      <c r="E21" s="13" t="s">
        <v>1646</v>
      </c>
      <c r="F21" s="43">
        <v>1230578.0</v>
      </c>
    </row>
    <row r="22" ht="15.75" customHeight="1">
      <c r="A22" s="13" t="s">
        <v>622</v>
      </c>
      <c r="B22" s="43">
        <v>12.0</v>
      </c>
      <c r="C22" s="43">
        <v>37.0</v>
      </c>
      <c r="D22" s="43">
        <v>25.0</v>
      </c>
      <c r="E22" s="13" t="s">
        <v>1657</v>
      </c>
      <c r="F22" s="43">
        <v>721678.0</v>
      </c>
    </row>
    <row r="23" ht="15.75" customHeight="1">
      <c r="A23" s="13" t="s">
        <v>644</v>
      </c>
      <c r="B23" s="43">
        <v>24.0</v>
      </c>
      <c r="C23" s="43">
        <v>41.0</v>
      </c>
      <c r="D23" s="43">
        <v>17.0</v>
      </c>
      <c r="E23" s="13" t="s">
        <v>1667</v>
      </c>
      <c r="F23" s="43">
        <v>796057.0</v>
      </c>
    </row>
    <row r="24" ht="15.75" customHeight="1">
      <c r="A24" s="13" t="s">
        <v>668</v>
      </c>
      <c r="B24" s="13" t="s">
        <v>1198</v>
      </c>
      <c r="C24" s="43">
        <v>11.0</v>
      </c>
      <c r="D24" s="13" t="s">
        <v>1675</v>
      </c>
      <c r="E24" s="13" t="s">
        <v>1677</v>
      </c>
      <c r="F24" s="43">
        <v>142833.0</v>
      </c>
    </row>
    <row r="25" ht="15.75" customHeight="1">
      <c r="A25" s="13" t="s">
        <v>696</v>
      </c>
      <c r="B25" s="43">
        <v>89.0</v>
      </c>
      <c r="C25" s="43">
        <v>157.0</v>
      </c>
      <c r="D25" s="43">
        <v>68.0</v>
      </c>
      <c r="E25" s="13" t="s">
        <v>1685</v>
      </c>
      <c r="F25" s="43">
        <v>2891146.0</v>
      </c>
    </row>
    <row r="26" ht="15.75" customHeight="1"/>
    <row r="27" ht="15.75" customHeight="1"/>
    <row r="28" ht="15.75" customHeight="1">
      <c r="A28" s="25" t="s">
        <v>1687</v>
      </c>
      <c r="B28" s="26"/>
      <c r="C28" s="26"/>
      <c r="D28" s="26"/>
      <c r="E28" s="26"/>
    </row>
    <row r="29" ht="15.75" customHeight="1">
      <c r="A29" s="27" t="s">
        <v>1692</v>
      </c>
      <c r="B29" s="26"/>
      <c r="C29" s="26"/>
      <c r="D29" s="26"/>
      <c r="E29" s="26"/>
    </row>
    <row r="30" ht="15.75" customHeight="1">
      <c r="A30" s="41" t="s">
        <v>1697</v>
      </c>
      <c r="B30" s="41"/>
      <c r="C30" s="41" t="s">
        <v>1701</v>
      </c>
      <c r="D30" s="41"/>
      <c r="E30" s="41" t="s">
        <v>1702</v>
      </c>
    </row>
    <row r="31" ht="15.75" customHeight="1">
      <c r="A31" s="42" t="s">
        <v>426</v>
      </c>
    </row>
    <row r="32" ht="15.75" customHeight="1"/>
    <row r="33" ht="15.75" customHeight="1"/>
    <row r="34" ht="15.75" customHeight="1">
      <c r="A34" s="25" t="s">
        <v>1705</v>
      </c>
      <c r="B34" s="26"/>
      <c r="C34" s="26"/>
      <c r="D34" s="26"/>
    </row>
    <row r="35" ht="15.75" customHeight="1">
      <c r="A35" s="27" t="s">
        <v>1709</v>
      </c>
      <c r="B35" s="26"/>
      <c r="C35" s="26"/>
      <c r="D35" s="26"/>
    </row>
    <row r="36" ht="15.75" customHeight="1">
      <c r="A36" s="41" t="s">
        <v>1713</v>
      </c>
      <c r="B36" s="41" t="s">
        <v>1716</v>
      </c>
      <c r="C36" s="41" t="s">
        <v>1718</v>
      </c>
    </row>
    <row r="37" ht="15.75" customHeight="1">
      <c r="A37" s="13" t="s">
        <v>1722</v>
      </c>
      <c r="B37" s="13" t="s">
        <v>1725</v>
      </c>
      <c r="C37" s="13" t="s">
        <v>1728</v>
      </c>
    </row>
    <row r="38" ht="15.75" customHeight="1">
      <c r="A38" s="13" t="s">
        <v>1731</v>
      </c>
      <c r="B38" s="13" t="s">
        <v>1732</v>
      </c>
      <c r="C38" s="13" t="s">
        <v>1733</v>
      </c>
    </row>
    <row r="39" ht="15.75" customHeight="1">
      <c r="A39" s="13" t="s">
        <v>1737</v>
      </c>
      <c r="B39" s="13" t="s">
        <v>1739</v>
      </c>
      <c r="C39" s="13" t="s">
        <v>1741</v>
      </c>
    </row>
    <row r="40" ht="15.75" customHeight="1">
      <c r="A40" s="42" t="s">
        <v>438</v>
      </c>
    </row>
    <row r="41" ht="15.75" customHeight="1"/>
    <row r="42" ht="15.75" customHeight="1"/>
    <row r="43" ht="15.75" customHeight="1">
      <c r="A43" s="25" t="s">
        <v>1743</v>
      </c>
      <c r="B43" s="26"/>
      <c r="C43" s="26"/>
      <c r="D43" s="26"/>
    </row>
    <row r="44" ht="15.75" customHeight="1">
      <c r="A44" s="27" t="s">
        <v>1748</v>
      </c>
      <c r="B44" s="26"/>
      <c r="C44" s="26"/>
      <c r="D44" s="26"/>
    </row>
    <row r="45" ht="15.75" customHeight="1">
      <c r="A45" s="41" t="s">
        <v>1754</v>
      </c>
      <c r="B45" s="41" t="s">
        <v>1755</v>
      </c>
    </row>
    <row r="46" ht="15.75" customHeight="1">
      <c r="A46" s="42" t="s">
        <v>454</v>
      </c>
    </row>
    <row r="47" ht="15.75" customHeight="1"/>
    <row r="48" ht="15.75" customHeight="1"/>
    <row r="49" ht="15.75" customHeight="1">
      <c r="A49" s="25" t="s">
        <v>1760</v>
      </c>
      <c r="B49" s="26"/>
      <c r="C49" s="26"/>
      <c r="D49" s="26"/>
      <c r="E49" s="26"/>
    </row>
    <row r="50" ht="15.75" customHeight="1">
      <c r="A50" s="27" t="s">
        <v>1766</v>
      </c>
      <c r="B50" s="26"/>
      <c r="C50" s="26"/>
      <c r="D50" s="26"/>
      <c r="E50" s="26"/>
    </row>
    <row r="51" ht="15.75" customHeight="1">
      <c r="A51" s="41" t="s">
        <v>1769</v>
      </c>
      <c r="B51" s="41"/>
      <c r="C51" s="41" t="s">
        <v>1772</v>
      </c>
      <c r="D51" s="41"/>
      <c r="E51" s="41" t="s">
        <v>1773</v>
      </c>
    </row>
    <row r="52" ht="15.75" customHeight="1"/>
    <row r="53" ht="15.75" customHeight="1"/>
    <row r="54" ht="15.75" customHeight="1">
      <c r="A54" s="25" t="s">
        <v>1774</v>
      </c>
      <c r="B54" s="26"/>
      <c r="C54" s="26"/>
      <c r="D54" s="26"/>
      <c r="E54" s="26"/>
      <c r="F54" s="26"/>
      <c r="G54" s="26"/>
      <c r="H54" s="26"/>
      <c r="I54" s="26"/>
      <c r="J54" s="26"/>
    </row>
    <row r="55" ht="15.75" customHeight="1">
      <c r="A55" s="27" t="s">
        <v>1779</v>
      </c>
      <c r="B55" s="26"/>
      <c r="C55" s="26"/>
      <c r="D55" s="26"/>
      <c r="E55" s="26"/>
      <c r="F55" s="26"/>
      <c r="G55" s="26"/>
      <c r="H55" s="26"/>
      <c r="I55" s="26"/>
      <c r="J55" s="26"/>
    </row>
    <row r="56" ht="15.75" customHeight="1">
      <c r="A56" s="41" t="s">
        <v>1099</v>
      </c>
      <c r="B56" s="41" t="s">
        <v>1791</v>
      </c>
      <c r="C56" s="41" t="s">
        <v>1793</v>
      </c>
      <c r="D56" s="41" t="s">
        <v>1794</v>
      </c>
      <c r="E56" s="41" t="s">
        <v>1796</v>
      </c>
      <c r="F56" s="41" t="s">
        <v>1798</v>
      </c>
      <c r="G56" s="41" t="s">
        <v>1800</v>
      </c>
      <c r="H56" s="41" t="s">
        <v>1801</v>
      </c>
      <c r="I56" s="41" t="s">
        <v>1804</v>
      </c>
      <c r="J56" s="41" t="s">
        <v>1805</v>
      </c>
    </row>
    <row r="57" ht="15.75" customHeight="1">
      <c r="A57" s="13" t="s">
        <v>527</v>
      </c>
      <c r="B57" s="43">
        <v>259993.0</v>
      </c>
      <c r="C57" s="43">
        <v>101.0</v>
      </c>
      <c r="D57" s="43">
        <v>7.0</v>
      </c>
      <c r="E57" s="43">
        <v>5.0</v>
      </c>
      <c r="F57" s="43">
        <v>26.0</v>
      </c>
      <c r="G57" s="43">
        <v>4.0</v>
      </c>
      <c r="H57" s="43">
        <v>70.0</v>
      </c>
      <c r="I57" s="43">
        <v>51999.0</v>
      </c>
      <c r="J57" s="13" t="s">
        <v>1808</v>
      </c>
    </row>
    <row r="58" ht="15.75" customHeight="1">
      <c r="A58" s="13" t="s">
        <v>648</v>
      </c>
      <c r="B58" s="43">
        <v>58377.0</v>
      </c>
      <c r="C58" s="43">
        <v>37.0</v>
      </c>
      <c r="D58" s="43">
        <v>7.0</v>
      </c>
      <c r="E58" s="43">
        <v>1.0</v>
      </c>
      <c r="F58" s="43">
        <v>1.0</v>
      </c>
      <c r="G58" s="43">
        <v>1.0</v>
      </c>
      <c r="H58" s="43">
        <v>36.0</v>
      </c>
      <c r="I58" s="43">
        <v>58377.0</v>
      </c>
      <c r="J58" s="13" t="s">
        <v>1811</v>
      </c>
    </row>
    <row r="59" ht="15.75" customHeight="1">
      <c r="A59" s="13" t="s">
        <v>694</v>
      </c>
      <c r="B59" s="43">
        <v>51081.0</v>
      </c>
      <c r="C59" s="43">
        <v>26.0</v>
      </c>
      <c r="D59" s="43">
        <v>1.0</v>
      </c>
      <c r="E59" s="43">
        <v>1.0</v>
      </c>
      <c r="F59" s="43">
        <v>26.0</v>
      </c>
      <c r="G59" s="43">
        <v>1.0</v>
      </c>
      <c r="H59" s="43">
        <v>0.0</v>
      </c>
      <c r="I59" s="43">
        <v>51081.0</v>
      </c>
      <c r="J59" s="13" t="s">
        <v>1808</v>
      </c>
    </row>
    <row r="60" ht="15.75" customHeight="1">
      <c r="A60" s="13" t="s">
        <v>745</v>
      </c>
      <c r="B60" s="43">
        <v>50959.0</v>
      </c>
      <c r="C60" s="43">
        <v>38.0</v>
      </c>
      <c r="D60" s="43">
        <v>7.0</v>
      </c>
      <c r="E60" s="43">
        <v>1.0</v>
      </c>
      <c r="F60" s="43">
        <v>2.0</v>
      </c>
      <c r="G60" s="43">
        <v>0.0</v>
      </c>
      <c r="H60" s="43">
        <v>36.0</v>
      </c>
      <c r="I60" s="43">
        <v>50959.0</v>
      </c>
      <c r="J60" s="13" t="s">
        <v>1808</v>
      </c>
    </row>
    <row r="61" ht="15.75" customHeight="1">
      <c r="A61" s="13" t="s">
        <v>770</v>
      </c>
      <c r="B61" s="43">
        <v>46233.0</v>
      </c>
      <c r="C61" s="43">
        <v>34.0</v>
      </c>
      <c r="D61" s="43">
        <v>1.0</v>
      </c>
      <c r="E61" s="43">
        <v>1.0</v>
      </c>
      <c r="F61" s="43">
        <v>5.0</v>
      </c>
      <c r="G61" s="43">
        <v>1.0</v>
      </c>
      <c r="H61" s="43">
        <v>29.0</v>
      </c>
      <c r="I61" s="43">
        <v>46233.0</v>
      </c>
      <c r="J61" s="13" t="s">
        <v>1808</v>
      </c>
    </row>
    <row r="62" ht="15.75" customHeight="1">
      <c r="A62" s="13" t="s">
        <v>797</v>
      </c>
      <c r="B62" s="43">
        <v>40558.0</v>
      </c>
      <c r="C62" s="43">
        <v>37.0</v>
      </c>
      <c r="D62" s="43">
        <v>9.0</v>
      </c>
      <c r="E62" s="43">
        <v>1.0</v>
      </c>
      <c r="F62" s="43">
        <v>4.0</v>
      </c>
      <c r="G62" s="43">
        <v>0.0</v>
      </c>
      <c r="H62" s="43">
        <v>33.0</v>
      </c>
      <c r="I62" s="43">
        <v>40558.0</v>
      </c>
      <c r="J62" s="13" t="s">
        <v>1808</v>
      </c>
    </row>
    <row r="63" ht="15.75" customHeight="1">
      <c r="A63" s="13" t="s">
        <v>823</v>
      </c>
      <c r="B63" s="43">
        <v>40047.0</v>
      </c>
      <c r="C63" s="43">
        <v>38.0</v>
      </c>
      <c r="D63" s="43">
        <v>8.0</v>
      </c>
      <c r="E63" s="43">
        <v>1.0</v>
      </c>
      <c r="F63" s="43">
        <v>8.0</v>
      </c>
      <c r="G63" s="43">
        <v>1.0</v>
      </c>
      <c r="H63" s="43">
        <v>30.0</v>
      </c>
      <c r="I63" s="43">
        <v>40047.0</v>
      </c>
      <c r="J63" s="13" t="s">
        <v>1811</v>
      </c>
    </row>
    <row r="64" ht="15.75" customHeight="1">
      <c r="A64" s="13" t="s">
        <v>870</v>
      </c>
      <c r="B64" s="43">
        <v>37292.0</v>
      </c>
      <c r="C64" s="43">
        <v>34.0</v>
      </c>
      <c r="D64" s="43">
        <v>4.0</v>
      </c>
      <c r="E64" s="43">
        <v>1.0</v>
      </c>
      <c r="F64" s="43">
        <v>2.0</v>
      </c>
      <c r="G64" s="43">
        <v>0.0</v>
      </c>
      <c r="H64" s="43">
        <v>32.0</v>
      </c>
      <c r="I64" s="43">
        <v>37292.0</v>
      </c>
      <c r="J64" s="13" t="s">
        <v>1811</v>
      </c>
    </row>
    <row r="65" ht="15.75" customHeight="1">
      <c r="A65" s="13" t="s">
        <v>908</v>
      </c>
      <c r="B65" s="43">
        <v>37190.0</v>
      </c>
      <c r="C65" s="43">
        <v>44.0</v>
      </c>
      <c r="D65" s="43">
        <v>0.0</v>
      </c>
      <c r="E65" s="43">
        <v>1.0</v>
      </c>
      <c r="F65" s="43">
        <v>0.0</v>
      </c>
      <c r="G65" s="43">
        <v>2.0</v>
      </c>
      <c r="H65" s="43">
        <v>44.0</v>
      </c>
      <c r="I65" s="43">
        <v>37190.0</v>
      </c>
      <c r="J65" s="13" t="s">
        <v>1808</v>
      </c>
    </row>
    <row r="66" ht="15.75" customHeight="1">
      <c r="A66" s="13" t="s">
        <v>934</v>
      </c>
      <c r="B66" s="43">
        <v>36803.0</v>
      </c>
      <c r="C66" s="43">
        <v>35.0</v>
      </c>
      <c r="D66" s="43">
        <v>16.0</v>
      </c>
      <c r="E66" s="43">
        <v>1.0</v>
      </c>
      <c r="F66" s="43">
        <v>3.0</v>
      </c>
      <c r="G66" s="43">
        <v>0.0</v>
      </c>
      <c r="H66" s="43">
        <v>32.0</v>
      </c>
      <c r="I66" s="43">
        <v>36803.0</v>
      </c>
      <c r="J66" s="13" t="s">
        <v>1808</v>
      </c>
    </row>
    <row r="67" ht="15.75" customHeight="1">
      <c r="A67" s="13" t="s">
        <v>946</v>
      </c>
      <c r="B67" s="43">
        <v>33897.0</v>
      </c>
      <c r="C67" s="43">
        <v>32.0</v>
      </c>
      <c r="D67" s="43">
        <v>18.0</v>
      </c>
      <c r="E67" s="43">
        <v>1.0</v>
      </c>
      <c r="F67" s="43">
        <v>0.0</v>
      </c>
      <c r="G67" s="43">
        <v>0.0</v>
      </c>
      <c r="H67" s="43">
        <v>32.0</v>
      </c>
      <c r="I67" s="43">
        <v>33897.0</v>
      </c>
      <c r="J67" s="13" t="s">
        <v>1811</v>
      </c>
    </row>
    <row r="68" ht="15.75" customHeight="1">
      <c r="A68" s="13" t="s">
        <v>963</v>
      </c>
      <c r="B68" s="43">
        <v>33595.0</v>
      </c>
      <c r="C68" s="43">
        <v>24.0</v>
      </c>
      <c r="D68" s="43">
        <v>16.0</v>
      </c>
      <c r="E68" s="43">
        <v>1.0</v>
      </c>
      <c r="F68" s="43">
        <v>5.0</v>
      </c>
      <c r="G68" s="43">
        <v>0.0</v>
      </c>
      <c r="H68" s="43">
        <v>19.0</v>
      </c>
      <c r="I68" s="43">
        <v>33595.0</v>
      </c>
      <c r="J68" s="13" t="s">
        <v>1811</v>
      </c>
    </row>
    <row r="69" ht="15.75" customHeight="1">
      <c r="A69" s="13" t="s">
        <v>994</v>
      </c>
      <c r="B69" s="43">
        <v>33307.0</v>
      </c>
      <c r="C69" s="43">
        <v>25.0</v>
      </c>
      <c r="D69" s="43">
        <v>21.0</v>
      </c>
      <c r="E69" s="43">
        <v>1.0</v>
      </c>
      <c r="F69" s="43">
        <v>2.0</v>
      </c>
      <c r="G69" s="43">
        <v>0.0</v>
      </c>
      <c r="H69" s="43">
        <v>23.0</v>
      </c>
      <c r="I69" s="43">
        <v>33307.0</v>
      </c>
      <c r="J69" s="13" t="s">
        <v>1808</v>
      </c>
    </row>
    <row r="70" ht="15.75" customHeight="1">
      <c r="A70" s="13" t="s">
        <v>1019</v>
      </c>
      <c r="B70" s="43">
        <v>31227.0</v>
      </c>
      <c r="C70" s="43">
        <v>27.0</v>
      </c>
      <c r="D70" s="43">
        <v>1.0</v>
      </c>
      <c r="E70" s="43">
        <v>1.0</v>
      </c>
      <c r="F70" s="43">
        <v>3.0</v>
      </c>
      <c r="G70" s="43">
        <v>0.0</v>
      </c>
      <c r="H70" s="43">
        <v>24.0</v>
      </c>
      <c r="I70" s="43">
        <v>31227.0</v>
      </c>
      <c r="J70" s="13" t="s">
        <v>1811</v>
      </c>
    </row>
    <row r="71" ht="15.75" customHeight="1">
      <c r="A71" s="13" t="s">
        <v>1036</v>
      </c>
      <c r="B71" s="43">
        <v>30227.0</v>
      </c>
      <c r="C71" s="43">
        <v>49.0</v>
      </c>
      <c r="D71" s="43">
        <v>3.0</v>
      </c>
      <c r="E71" s="43">
        <v>1.0</v>
      </c>
      <c r="F71" s="43">
        <v>3.0</v>
      </c>
      <c r="G71" s="43">
        <v>0.0</v>
      </c>
      <c r="H71" s="43">
        <v>46.0</v>
      </c>
      <c r="I71" s="43">
        <v>30227.0</v>
      </c>
      <c r="J71" s="13" t="s">
        <v>1811</v>
      </c>
    </row>
    <row r="72" ht="15.75" customHeight="1">
      <c r="A72" s="13" t="s">
        <v>1047</v>
      </c>
      <c r="B72" s="43">
        <v>30044.0</v>
      </c>
      <c r="C72" s="43">
        <v>37.0</v>
      </c>
      <c r="D72" s="43">
        <v>15.0</v>
      </c>
      <c r="E72" s="43">
        <v>1.0</v>
      </c>
      <c r="F72" s="43">
        <v>1.0</v>
      </c>
      <c r="G72" s="43">
        <v>0.0</v>
      </c>
      <c r="H72" s="43">
        <v>36.0</v>
      </c>
      <c r="I72" s="43">
        <v>30044.0</v>
      </c>
      <c r="J72" s="13" t="s">
        <v>1811</v>
      </c>
    </row>
    <row r="73" ht="15.75" customHeight="1">
      <c r="A73" s="13" t="s">
        <v>1052</v>
      </c>
      <c r="B73" s="43">
        <v>29558.0</v>
      </c>
      <c r="C73" s="43">
        <v>43.0</v>
      </c>
      <c r="D73" s="43">
        <v>0.0</v>
      </c>
      <c r="E73" s="43">
        <v>1.0</v>
      </c>
      <c r="F73" s="43">
        <v>2.0</v>
      </c>
      <c r="G73" s="43">
        <v>0.0</v>
      </c>
      <c r="H73" s="43">
        <v>41.0</v>
      </c>
      <c r="I73" s="43">
        <v>29558.0</v>
      </c>
      <c r="J73" s="13" t="s">
        <v>1811</v>
      </c>
    </row>
    <row r="74" ht="15.75" customHeight="1">
      <c r="A74" s="13" t="s">
        <v>1056</v>
      </c>
      <c r="B74" s="43">
        <v>28807.0</v>
      </c>
      <c r="C74" s="43">
        <v>30.0</v>
      </c>
      <c r="D74" s="43">
        <v>0.0</v>
      </c>
      <c r="E74" s="43">
        <v>1.0</v>
      </c>
      <c r="F74" s="43">
        <v>6.0</v>
      </c>
      <c r="G74" s="43">
        <v>0.0</v>
      </c>
      <c r="H74" s="43">
        <v>24.0</v>
      </c>
      <c r="I74" s="43">
        <v>28807.0</v>
      </c>
      <c r="J74" s="13" t="s">
        <v>1808</v>
      </c>
    </row>
    <row r="75" ht="15.75" customHeight="1">
      <c r="A75" s="13" t="s">
        <v>1072</v>
      </c>
      <c r="B75" s="43">
        <v>28733.0</v>
      </c>
      <c r="C75" s="43">
        <v>36.0</v>
      </c>
      <c r="D75" s="43">
        <v>2.0</v>
      </c>
      <c r="E75" s="43">
        <v>1.0</v>
      </c>
      <c r="F75" s="43">
        <v>2.0</v>
      </c>
      <c r="G75" s="43">
        <v>0.0</v>
      </c>
      <c r="H75" s="43">
        <v>34.0</v>
      </c>
      <c r="I75" s="43">
        <v>28733.0</v>
      </c>
      <c r="J75" s="13" t="s">
        <v>1808</v>
      </c>
    </row>
    <row r="76" ht="15.75" customHeight="1">
      <c r="A76" s="13" t="s">
        <v>1080</v>
      </c>
      <c r="B76" s="43">
        <v>27031.0</v>
      </c>
      <c r="C76" s="43">
        <v>26.0</v>
      </c>
      <c r="D76" s="43">
        <v>4.0</v>
      </c>
      <c r="E76" s="43">
        <v>1.0</v>
      </c>
      <c r="F76" s="43">
        <v>0.0</v>
      </c>
      <c r="G76" s="43">
        <v>1.0</v>
      </c>
      <c r="H76" s="43">
        <v>26.0</v>
      </c>
      <c r="I76" s="43">
        <v>27031.0</v>
      </c>
      <c r="J76" s="13" t="s">
        <v>1811</v>
      </c>
    </row>
    <row r="77" ht="15.75" customHeight="1">
      <c r="A77" s="13" t="s">
        <v>1094</v>
      </c>
      <c r="B77" s="43">
        <v>26918.0</v>
      </c>
      <c r="C77" s="43">
        <v>35.0</v>
      </c>
      <c r="D77" s="43">
        <v>1.0</v>
      </c>
      <c r="E77" s="43">
        <v>1.0</v>
      </c>
      <c r="F77" s="43">
        <v>3.0</v>
      </c>
      <c r="G77" s="43">
        <v>0.0</v>
      </c>
      <c r="H77" s="43">
        <v>32.0</v>
      </c>
      <c r="I77" s="43">
        <v>26918.0</v>
      </c>
      <c r="J77" s="13" t="s">
        <v>1808</v>
      </c>
    </row>
    <row r="78" ht="15.75" customHeight="1">
      <c r="A78" s="13" t="s">
        <v>1112</v>
      </c>
      <c r="B78" s="43">
        <v>26283.0</v>
      </c>
      <c r="C78" s="43">
        <v>23.0</v>
      </c>
      <c r="D78" s="43">
        <v>4.0</v>
      </c>
      <c r="E78" s="43">
        <v>1.0</v>
      </c>
      <c r="F78" s="43">
        <v>1.0</v>
      </c>
      <c r="G78" s="43">
        <v>0.0</v>
      </c>
      <c r="H78" s="43">
        <v>22.0</v>
      </c>
      <c r="I78" s="43">
        <v>26283.0</v>
      </c>
      <c r="J78" s="13" t="s">
        <v>1811</v>
      </c>
    </row>
    <row r="79" ht="15.75" customHeight="1">
      <c r="A79" s="13" t="s">
        <v>1140</v>
      </c>
      <c r="B79" s="43">
        <v>25394.0</v>
      </c>
      <c r="C79" s="43">
        <v>16.0</v>
      </c>
      <c r="D79" s="43">
        <v>15.0</v>
      </c>
      <c r="E79" s="43">
        <v>1.0</v>
      </c>
      <c r="F79" s="43">
        <v>2.0</v>
      </c>
      <c r="G79" s="43">
        <v>0.0</v>
      </c>
      <c r="H79" s="43">
        <v>14.0</v>
      </c>
      <c r="I79" s="43">
        <v>25394.0</v>
      </c>
      <c r="J79" s="13" t="s">
        <v>1811</v>
      </c>
    </row>
    <row r="80" ht="15.75" customHeight="1">
      <c r="A80" s="13" t="s">
        <v>1171</v>
      </c>
      <c r="B80" s="43">
        <v>24988.0</v>
      </c>
      <c r="C80" s="43">
        <v>21.0</v>
      </c>
      <c r="D80" s="43">
        <v>5.0</v>
      </c>
      <c r="E80" s="43">
        <v>1.0</v>
      </c>
      <c r="F80" s="43">
        <v>0.0</v>
      </c>
      <c r="G80" s="43">
        <v>0.0</v>
      </c>
      <c r="H80" s="43">
        <v>21.0</v>
      </c>
      <c r="I80" s="43">
        <v>24988.0</v>
      </c>
      <c r="J80" s="13" t="s">
        <v>1811</v>
      </c>
    </row>
    <row r="81" ht="15.75" customHeight="1">
      <c r="A81" s="13" t="s">
        <v>1196</v>
      </c>
      <c r="B81" s="43">
        <v>24886.0</v>
      </c>
      <c r="C81" s="43">
        <v>24.0</v>
      </c>
      <c r="D81" s="43">
        <v>12.0</v>
      </c>
      <c r="E81" s="43">
        <v>1.0</v>
      </c>
      <c r="F81" s="43">
        <v>1.0</v>
      </c>
      <c r="G81" s="43">
        <v>0.0</v>
      </c>
      <c r="H81" s="43">
        <v>23.0</v>
      </c>
      <c r="I81" s="43">
        <v>24886.0</v>
      </c>
      <c r="J81" s="13" t="s">
        <v>1811</v>
      </c>
    </row>
    <row r="82" ht="15.75" customHeight="1">
      <c r="A82" s="13" t="s">
        <v>1202</v>
      </c>
      <c r="B82" s="43">
        <v>24381.0</v>
      </c>
      <c r="C82" s="43">
        <v>26.0</v>
      </c>
      <c r="D82" s="43">
        <v>6.0</v>
      </c>
      <c r="E82" s="43">
        <v>1.0</v>
      </c>
      <c r="F82" s="43">
        <v>5.0</v>
      </c>
      <c r="G82" s="43">
        <v>0.0</v>
      </c>
      <c r="H82" s="43">
        <v>21.0</v>
      </c>
      <c r="I82" s="43">
        <v>24381.0</v>
      </c>
      <c r="J82" s="13" t="s">
        <v>1811</v>
      </c>
    </row>
    <row r="83" ht="15.75" customHeight="1">
      <c r="A83" s="13" t="s">
        <v>1244</v>
      </c>
      <c r="B83" s="43">
        <v>23283.0</v>
      </c>
      <c r="C83" s="43">
        <v>33.0</v>
      </c>
      <c r="D83" s="43">
        <v>1.0</v>
      </c>
      <c r="E83" s="43">
        <v>1.0</v>
      </c>
      <c r="F83" s="43">
        <v>3.0</v>
      </c>
      <c r="G83" s="43">
        <v>0.0</v>
      </c>
      <c r="H83" s="43">
        <v>30.0</v>
      </c>
      <c r="I83" s="43">
        <v>23283.0</v>
      </c>
      <c r="J83" s="13" t="s">
        <v>1808</v>
      </c>
    </row>
    <row r="84" ht="15.75" customHeight="1">
      <c r="A84" s="13" t="s">
        <v>1266</v>
      </c>
      <c r="B84" s="43">
        <v>23228.0</v>
      </c>
      <c r="C84" s="43">
        <v>15.0</v>
      </c>
      <c r="D84" s="43">
        <v>12.0</v>
      </c>
      <c r="E84" s="43">
        <v>1.0</v>
      </c>
      <c r="F84" s="43">
        <v>3.0</v>
      </c>
      <c r="G84" s="43">
        <v>0.0</v>
      </c>
      <c r="H84" s="43">
        <v>12.0</v>
      </c>
      <c r="I84" s="43">
        <v>23228.0</v>
      </c>
      <c r="J84" s="13" t="s">
        <v>1811</v>
      </c>
    </row>
    <row r="85" ht="15.75" customHeight="1">
      <c r="A85" s="13" t="s">
        <v>1303</v>
      </c>
      <c r="B85" s="43">
        <v>23159.0</v>
      </c>
      <c r="C85" s="43">
        <v>26.0</v>
      </c>
      <c r="D85" s="43">
        <v>0.0</v>
      </c>
      <c r="E85" s="43">
        <v>1.0</v>
      </c>
      <c r="F85" s="43">
        <v>1.0</v>
      </c>
      <c r="G85" s="43">
        <v>0.0</v>
      </c>
      <c r="H85" s="43">
        <v>25.0</v>
      </c>
      <c r="I85" s="43">
        <v>23159.0</v>
      </c>
      <c r="J85" s="13" t="s">
        <v>1808</v>
      </c>
    </row>
    <row r="86" ht="15.75" customHeight="1">
      <c r="A86" s="13" t="s">
        <v>1346</v>
      </c>
      <c r="B86" s="43">
        <v>21630.0</v>
      </c>
      <c r="C86" s="43">
        <v>20.0</v>
      </c>
      <c r="D86" s="43">
        <v>9.0</v>
      </c>
      <c r="E86" s="43">
        <v>1.0</v>
      </c>
      <c r="F86" s="43">
        <v>2.0</v>
      </c>
      <c r="G86" s="43">
        <v>0.0</v>
      </c>
      <c r="H86" s="43">
        <v>18.0</v>
      </c>
      <c r="I86" s="43">
        <v>21630.0</v>
      </c>
      <c r="J86" s="13" t="s">
        <v>1808</v>
      </c>
    </row>
    <row r="87" ht="15.75" customHeight="1">
      <c r="A87" s="13" t="s">
        <v>1386</v>
      </c>
      <c r="B87" s="43">
        <v>21469.0</v>
      </c>
      <c r="C87" s="43">
        <v>22.0</v>
      </c>
      <c r="D87" s="43">
        <v>5.0</v>
      </c>
      <c r="E87" s="43">
        <v>1.0</v>
      </c>
      <c r="F87" s="43">
        <v>0.0</v>
      </c>
      <c r="G87" s="43">
        <v>0.0</v>
      </c>
      <c r="H87" s="43">
        <v>22.0</v>
      </c>
      <c r="I87" s="43">
        <v>21469.0</v>
      </c>
      <c r="J87" s="13" t="s">
        <v>1811</v>
      </c>
    </row>
    <row r="88" ht="15.75" customHeight="1">
      <c r="A88" s="13" t="s">
        <v>1443</v>
      </c>
      <c r="B88" s="43">
        <v>19296.0</v>
      </c>
      <c r="C88" s="43">
        <v>19.0</v>
      </c>
      <c r="D88" s="43">
        <v>11.0</v>
      </c>
      <c r="E88" s="43">
        <v>1.0</v>
      </c>
      <c r="F88" s="43">
        <v>3.0</v>
      </c>
      <c r="G88" s="43">
        <v>0.0</v>
      </c>
      <c r="H88" s="43">
        <v>16.0</v>
      </c>
      <c r="I88" s="43">
        <v>19296.0</v>
      </c>
      <c r="J88" s="13" t="s">
        <v>1811</v>
      </c>
    </row>
    <row r="89" ht="15.75" customHeight="1">
      <c r="A89" s="13" t="s">
        <v>1478</v>
      </c>
      <c r="B89" s="43">
        <v>18020.0</v>
      </c>
      <c r="C89" s="43">
        <v>23.0</v>
      </c>
      <c r="D89" s="43">
        <v>7.0</v>
      </c>
      <c r="E89" s="43">
        <v>1.0</v>
      </c>
      <c r="F89" s="43">
        <v>0.0</v>
      </c>
      <c r="G89" s="43">
        <v>0.0</v>
      </c>
      <c r="H89" s="43">
        <v>23.0</v>
      </c>
      <c r="I89" s="43">
        <v>18020.0</v>
      </c>
      <c r="J89" s="13" t="s">
        <v>1811</v>
      </c>
    </row>
    <row r="90" ht="15.75" customHeight="1">
      <c r="A90" s="13" t="s">
        <v>1560</v>
      </c>
      <c r="B90" s="43">
        <v>17585.0</v>
      </c>
      <c r="C90" s="43">
        <v>17.0</v>
      </c>
      <c r="D90" s="43">
        <v>14.0</v>
      </c>
      <c r="E90" s="43">
        <v>1.0</v>
      </c>
      <c r="F90" s="43">
        <v>2.0</v>
      </c>
      <c r="G90" s="43">
        <v>0.0</v>
      </c>
      <c r="H90" s="43">
        <v>15.0</v>
      </c>
      <c r="I90" s="43">
        <v>17585.0</v>
      </c>
      <c r="J90" s="13" t="s">
        <v>1811</v>
      </c>
    </row>
    <row r="91" ht="15.75" customHeight="1">
      <c r="A91" s="13" t="s">
        <v>1617</v>
      </c>
      <c r="B91" s="43">
        <v>17567.0</v>
      </c>
      <c r="C91" s="43">
        <v>21.0</v>
      </c>
      <c r="D91" s="43">
        <v>12.0</v>
      </c>
      <c r="E91" s="43">
        <v>1.0</v>
      </c>
      <c r="F91" s="43">
        <v>0.0</v>
      </c>
      <c r="G91" s="43">
        <v>0.0</v>
      </c>
      <c r="H91" s="43">
        <v>21.0</v>
      </c>
      <c r="I91" s="43">
        <v>17567.0</v>
      </c>
      <c r="J91" s="13" t="s">
        <v>1811</v>
      </c>
    </row>
    <row r="92" ht="15.75" customHeight="1">
      <c r="A92" s="13" t="s">
        <v>1647</v>
      </c>
      <c r="B92" s="43">
        <v>15659.0</v>
      </c>
      <c r="C92" s="43">
        <v>18.0</v>
      </c>
      <c r="D92" s="43">
        <v>18.0</v>
      </c>
      <c r="E92" s="43">
        <v>1.0</v>
      </c>
      <c r="F92" s="43">
        <v>0.0</v>
      </c>
      <c r="G92" s="43">
        <v>0.0</v>
      </c>
      <c r="H92" s="43">
        <v>18.0</v>
      </c>
      <c r="I92" s="43">
        <v>15659.0</v>
      </c>
      <c r="J92" s="13" t="s">
        <v>1811</v>
      </c>
    </row>
    <row r="93" ht="15.75" customHeight="1">
      <c r="A93" s="13" t="s">
        <v>1695</v>
      </c>
      <c r="B93" s="43">
        <v>14837.0</v>
      </c>
      <c r="C93" s="43">
        <v>17.0</v>
      </c>
      <c r="D93" s="43">
        <v>9.0</v>
      </c>
      <c r="E93" s="43">
        <v>1.0</v>
      </c>
      <c r="F93" s="43">
        <v>1.0</v>
      </c>
      <c r="G93" s="43">
        <v>0.0</v>
      </c>
      <c r="H93" s="43">
        <v>16.0</v>
      </c>
      <c r="I93" s="43">
        <v>14837.0</v>
      </c>
      <c r="J93" s="13" t="s">
        <v>1808</v>
      </c>
    </row>
    <row r="94" ht="15.75" customHeight="1">
      <c r="A94" s="13" t="s">
        <v>1747</v>
      </c>
      <c r="B94" s="43">
        <v>12984.0</v>
      </c>
      <c r="C94" s="43">
        <v>7.0</v>
      </c>
      <c r="D94" s="43">
        <v>5.0</v>
      </c>
      <c r="E94" s="43">
        <v>1.0</v>
      </c>
      <c r="F94" s="43">
        <v>0.0</v>
      </c>
      <c r="G94" s="43">
        <v>0.0</v>
      </c>
      <c r="H94" s="43">
        <v>7.0</v>
      </c>
      <c r="I94" s="43">
        <v>12984.0</v>
      </c>
      <c r="J94" s="13" t="s">
        <v>1811</v>
      </c>
    </row>
    <row r="95" ht="15.75" customHeight="1">
      <c r="A95" s="13" t="s">
        <v>1781</v>
      </c>
      <c r="B95" s="43">
        <v>12843.0</v>
      </c>
      <c r="C95" s="43">
        <v>19.0</v>
      </c>
      <c r="D95" s="43">
        <v>17.0</v>
      </c>
      <c r="E95" s="43">
        <v>1.0</v>
      </c>
      <c r="F95" s="43">
        <v>0.0</v>
      </c>
      <c r="G95" s="43">
        <v>0.0</v>
      </c>
      <c r="H95" s="43">
        <v>19.0</v>
      </c>
      <c r="I95" s="43">
        <v>12843.0</v>
      </c>
      <c r="J95" s="13" t="s">
        <v>1808</v>
      </c>
    </row>
    <row r="96" ht="15.75" customHeight="1">
      <c r="A96" s="13" t="s">
        <v>1814</v>
      </c>
      <c r="B96" s="43">
        <v>8768.0</v>
      </c>
      <c r="C96" s="43">
        <v>9.0</v>
      </c>
      <c r="D96" s="43">
        <v>2.0</v>
      </c>
      <c r="E96" s="43">
        <v>1.0</v>
      </c>
      <c r="F96" s="43">
        <v>0.0</v>
      </c>
      <c r="G96" s="43">
        <v>0.0</v>
      </c>
      <c r="H96" s="43">
        <v>9.0</v>
      </c>
      <c r="I96" s="43">
        <v>8768.0</v>
      </c>
      <c r="J96" s="13" t="s">
        <v>1811</v>
      </c>
    </row>
    <row r="97" ht="15.75" customHeight="1">
      <c r="A97" s="13" t="s">
        <v>1829</v>
      </c>
      <c r="B97" s="43">
        <v>1368137.0</v>
      </c>
      <c r="C97" s="43">
        <v>1159.0</v>
      </c>
      <c r="D97" s="43">
        <v>305.0</v>
      </c>
      <c r="E97" s="43">
        <v>44.0</v>
      </c>
      <c r="F97" s="43">
        <v>128.0</v>
      </c>
      <c r="G97" s="43">
        <v>11.0</v>
      </c>
      <c r="H97" s="43">
        <v>1031.0</v>
      </c>
      <c r="I97" s="43">
        <v>31094.0</v>
      </c>
      <c r="J97" s="13" t="s">
        <v>740</v>
      </c>
    </row>
    <row r="98" ht="15.75" customHeight="1"/>
    <row r="99" ht="15.75" customHeight="1"/>
    <row r="100" ht="15.75" customHeight="1">
      <c r="A100" s="25" t="s">
        <v>1918</v>
      </c>
      <c r="B100" s="26"/>
      <c r="C100" s="26"/>
      <c r="D100" s="26"/>
      <c r="E100" s="26"/>
      <c r="F100" s="26"/>
      <c r="G100" s="26"/>
      <c r="H100" s="26"/>
    </row>
    <row r="101" ht="15.75" customHeight="1">
      <c r="A101" s="27" t="s">
        <v>1919</v>
      </c>
      <c r="B101" s="26"/>
      <c r="C101" s="26"/>
      <c r="D101" s="26"/>
      <c r="E101" s="26"/>
      <c r="F101" s="26"/>
      <c r="G101" s="26"/>
      <c r="H101" s="26"/>
    </row>
    <row r="102" ht="15.75" customHeight="1">
      <c r="A102" s="41" t="s">
        <v>1099</v>
      </c>
      <c r="B102" s="41" t="s">
        <v>1791</v>
      </c>
      <c r="C102" s="41" t="s">
        <v>1793</v>
      </c>
      <c r="D102" s="41" t="s">
        <v>1920</v>
      </c>
      <c r="E102" s="41" t="s">
        <v>1921</v>
      </c>
      <c r="F102" s="41" t="s">
        <v>1796</v>
      </c>
      <c r="G102" s="41" t="s">
        <v>1798</v>
      </c>
      <c r="H102" s="41" t="s">
        <v>1805</v>
      </c>
    </row>
    <row r="103" ht="15.75" customHeight="1">
      <c r="A103" s="13" t="s">
        <v>1647</v>
      </c>
      <c r="B103" s="43">
        <v>15659.0</v>
      </c>
      <c r="C103" s="43">
        <v>18.0</v>
      </c>
      <c r="D103" s="43">
        <v>18.0</v>
      </c>
      <c r="E103" s="43">
        <v>100.0</v>
      </c>
      <c r="F103" s="43">
        <v>1.0</v>
      </c>
      <c r="G103" s="43">
        <v>0.0</v>
      </c>
      <c r="H103" s="13" t="s">
        <v>344</v>
      </c>
    </row>
    <row r="104" ht="15.75" customHeight="1">
      <c r="A104" s="13" t="s">
        <v>1140</v>
      </c>
      <c r="B104" s="43">
        <v>25394.0</v>
      </c>
      <c r="C104" s="43">
        <v>16.0</v>
      </c>
      <c r="D104" s="43">
        <v>15.0</v>
      </c>
      <c r="E104" s="43">
        <v>93.8</v>
      </c>
      <c r="F104" s="43">
        <v>1.0</v>
      </c>
      <c r="G104" s="43">
        <v>2.0</v>
      </c>
      <c r="H104" s="13" t="s">
        <v>344</v>
      </c>
    </row>
    <row r="105" ht="15.75" customHeight="1">
      <c r="A105" s="13" t="s">
        <v>1781</v>
      </c>
      <c r="B105" s="43">
        <v>12843.0</v>
      </c>
      <c r="C105" s="43">
        <v>19.0</v>
      </c>
      <c r="D105" s="43">
        <v>17.0</v>
      </c>
      <c r="E105" s="43">
        <v>89.5</v>
      </c>
      <c r="F105" s="43">
        <v>1.0</v>
      </c>
      <c r="G105" s="43">
        <v>0.0</v>
      </c>
      <c r="H105" s="13" t="s">
        <v>1922</v>
      </c>
    </row>
    <row r="106" ht="15.75" customHeight="1">
      <c r="A106" s="13" t="s">
        <v>994</v>
      </c>
      <c r="B106" s="43">
        <v>33307.0</v>
      </c>
      <c r="C106" s="43">
        <v>25.0</v>
      </c>
      <c r="D106" s="43">
        <v>21.0</v>
      </c>
      <c r="E106" s="43">
        <v>84.0</v>
      </c>
      <c r="F106" s="43">
        <v>1.0</v>
      </c>
      <c r="G106" s="43">
        <v>2.0</v>
      </c>
      <c r="H106" s="13" t="s">
        <v>1922</v>
      </c>
    </row>
    <row r="107" ht="15.75" customHeight="1">
      <c r="A107" s="13" t="s">
        <v>1560</v>
      </c>
      <c r="B107" s="43">
        <v>17585.0</v>
      </c>
      <c r="C107" s="43">
        <v>17.0</v>
      </c>
      <c r="D107" s="43">
        <v>14.0</v>
      </c>
      <c r="E107" s="43">
        <v>82.4</v>
      </c>
      <c r="F107" s="43">
        <v>1.0</v>
      </c>
      <c r="G107" s="43">
        <v>2.0</v>
      </c>
      <c r="H107" s="13" t="s">
        <v>344</v>
      </c>
    </row>
    <row r="108" ht="15.75" customHeight="1">
      <c r="A108" s="13" t="s">
        <v>1266</v>
      </c>
      <c r="B108" s="43">
        <v>23228.0</v>
      </c>
      <c r="C108" s="43">
        <v>15.0</v>
      </c>
      <c r="D108" s="43">
        <v>12.0</v>
      </c>
      <c r="E108" s="43">
        <v>80.0</v>
      </c>
      <c r="F108" s="43">
        <v>1.0</v>
      </c>
      <c r="G108" s="43">
        <v>3.0</v>
      </c>
      <c r="H108" s="13" t="s">
        <v>344</v>
      </c>
    </row>
    <row r="109" ht="15.75" customHeight="1">
      <c r="A109" s="13" t="s">
        <v>1747</v>
      </c>
      <c r="B109" s="43">
        <v>12984.0</v>
      </c>
      <c r="C109" s="43">
        <v>7.0</v>
      </c>
      <c r="D109" s="43">
        <v>5.0</v>
      </c>
      <c r="E109" s="43">
        <v>71.4</v>
      </c>
      <c r="F109" s="43">
        <v>1.0</v>
      </c>
      <c r="G109" s="43">
        <v>0.0</v>
      </c>
      <c r="H109" s="13" t="s">
        <v>344</v>
      </c>
    </row>
    <row r="110" ht="15.75" customHeight="1">
      <c r="A110" s="13" t="s">
        <v>963</v>
      </c>
      <c r="B110" s="43">
        <v>33595.0</v>
      </c>
      <c r="C110" s="43">
        <v>24.0</v>
      </c>
      <c r="D110" s="43">
        <v>16.0</v>
      </c>
      <c r="E110" s="43">
        <v>66.7</v>
      </c>
      <c r="F110" s="43">
        <v>1.0</v>
      </c>
      <c r="G110" s="43">
        <v>5.0</v>
      </c>
      <c r="H110" s="13" t="s">
        <v>344</v>
      </c>
    </row>
    <row r="111" ht="15.75" customHeight="1">
      <c r="A111" s="13" t="s">
        <v>1443</v>
      </c>
      <c r="B111" s="43">
        <v>19296.0</v>
      </c>
      <c r="C111" s="43">
        <v>19.0</v>
      </c>
      <c r="D111" s="43">
        <v>11.0</v>
      </c>
      <c r="E111" s="43">
        <v>57.9</v>
      </c>
      <c r="F111" s="43">
        <v>1.0</v>
      </c>
      <c r="G111" s="43">
        <v>3.0</v>
      </c>
      <c r="H111" s="13" t="s">
        <v>344</v>
      </c>
    </row>
    <row r="112" ht="15.75" customHeight="1">
      <c r="A112" s="13" t="s">
        <v>1617</v>
      </c>
      <c r="B112" s="43">
        <v>17567.0</v>
      </c>
      <c r="C112" s="43">
        <v>21.0</v>
      </c>
      <c r="D112" s="43">
        <v>12.0</v>
      </c>
      <c r="E112" s="43">
        <v>57.1</v>
      </c>
      <c r="F112" s="43">
        <v>1.0</v>
      </c>
      <c r="G112" s="43">
        <v>0.0</v>
      </c>
      <c r="H112" s="13" t="s">
        <v>344</v>
      </c>
    </row>
    <row r="113" ht="15.75" customHeight="1">
      <c r="A113" s="13" t="s">
        <v>946</v>
      </c>
      <c r="B113" s="43">
        <v>33897.0</v>
      </c>
      <c r="C113" s="43">
        <v>32.0</v>
      </c>
      <c r="D113" s="43">
        <v>18.0</v>
      </c>
      <c r="E113" s="43">
        <v>56.2</v>
      </c>
      <c r="F113" s="43">
        <v>1.0</v>
      </c>
      <c r="G113" s="43">
        <v>0.0</v>
      </c>
      <c r="H113" s="13" t="s">
        <v>344</v>
      </c>
    </row>
    <row r="114" ht="15.75" customHeight="1">
      <c r="A114" s="13" t="s">
        <v>1695</v>
      </c>
      <c r="B114" s="43">
        <v>14837.0</v>
      </c>
      <c r="C114" s="43">
        <v>17.0</v>
      </c>
      <c r="D114" s="43">
        <v>9.0</v>
      </c>
      <c r="E114" s="43">
        <v>52.9</v>
      </c>
      <c r="F114" s="43">
        <v>1.0</v>
      </c>
      <c r="G114" s="43">
        <v>1.0</v>
      </c>
      <c r="H114" s="13" t="s">
        <v>1922</v>
      </c>
    </row>
    <row r="115" ht="15.75" customHeight="1"/>
    <row r="116" ht="15.75" customHeight="1"/>
    <row r="117" ht="15.75" customHeight="1">
      <c r="A117" s="25" t="s">
        <v>1304</v>
      </c>
      <c r="B117" s="26"/>
      <c r="C117" s="26"/>
      <c r="D117" s="26"/>
      <c r="E117" s="26"/>
      <c r="F117" s="26"/>
      <c r="G117" s="26"/>
    </row>
    <row r="118" ht="15.75" customHeight="1">
      <c r="A118" s="27" t="s">
        <v>1931</v>
      </c>
      <c r="B118" s="26"/>
      <c r="C118" s="26"/>
      <c r="D118" s="26"/>
      <c r="E118" s="26"/>
      <c r="F118" s="26"/>
      <c r="G118" s="26"/>
    </row>
    <row r="119" ht="15.75" customHeight="1">
      <c r="A119" s="41" t="s">
        <v>1935</v>
      </c>
      <c r="B119" s="41"/>
      <c r="C119" s="41" t="s">
        <v>1937</v>
      </c>
      <c r="D119" s="41"/>
      <c r="E119" s="41" t="s">
        <v>1940</v>
      </c>
      <c r="F119" s="41"/>
      <c r="G119" s="41" t="s">
        <v>1942</v>
      </c>
    </row>
    <row r="120" ht="15.75" customHeight="1"/>
    <row r="121" ht="15.75" customHeight="1"/>
    <row r="122" ht="15.75" customHeight="1">
      <c r="A122" s="25" t="s">
        <v>1944</v>
      </c>
      <c r="B122" s="26"/>
      <c r="C122" s="26"/>
      <c r="D122" s="26"/>
      <c r="E122" s="26"/>
      <c r="F122" s="26"/>
      <c r="G122" s="26"/>
    </row>
    <row r="123" ht="15.75" customHeight="1">
      <c r="A123" s="27" t="s">
        <v>1951</v>
      </c>
      <c r="B123" s="26"/>
      <c r="C123" s="26"/>
      <c r="D123" s="26"/>
      <c r="E123" s="26"/>
      <c r="F123" s="26"/>
      <c r="G123" s="26"/>
    </row>
    <row r="124" ht="15.75" customHeight="1">
      <c r="A124" s="41" t="s">
        <v>1955</v>
      </c>
      <c r="B124" s="41"/>
      <c r="C124" s="41" t="s">
        <v>1310</v>
      </c>
      <c r="D124" s="41"/>
      <c r="E124" s="41" t="s">
        <v>1957</v>
      </c>
      <c r="F124" s="41"/>
      <c r="G124" s="41" t="s">
        <v>1958</v>
      </c>
    </row>
    <row r="125" ht="15.75" customHeight="1"/>
    <row r="126" ht="15.75" customHeight="1"/>
    <row r="127" ht="15.75" customHeight="1">
      <c r="A127" s="25" t="s">
        <v>1959</v>
      </c>
      <c r="B127" s="26"/>
      <c r="C127" s="26"/>
      <c r="D127" s="26"/>
      <c r="E127" s="26"/>
      <c r="F127" s="26"/>
      <c r="G127" s="26"/>
      <c r="H127" s="26"/>
      <c r="I127" s="26"/>
      <c r="J127" s="26"/>
      <c r="K127" s="26"/>
      <c r="L127" s="26"/>
    </row>
    <row r="128" ht="15.75" customHeight="1">
      <c r="A128" s="27" t="s">
        <v>1965</v>
      </c>
      <c r="B128" s="26"/>
      <c r="C128" s="26"/>
      <c r="D128" s="26"/>
      <c r="E128" s="26"/>
      <c r="F128" s="26"/>
      <c r="G128" s="26"/>
      <c r="H128" s="26"/>
      <c r="I128" s="26"/>
      <c r="J128" s="26"/>
      <c r="K128" s="26"/>
      <c r="L128" s="26"/>
    </row>
    <row r="129" ht="15.75" customHeight="1">
      <c r="A129" s="41" t="s">
        <v>1971</v>
      </c>
      <c r="B129" s="41"/>
      <c r="C129" s="41"/>
      <c r="D129" s="41"/>
      <c r="E129" s="41" t="s">
        <v>1761</v>
      </c>
      <c r="F129" s="41" t="s">
        <v>1763</v>
      </c>
      <c r="G129" s="41" t="s">
        <v>1763</v>
      </c>
      <c r="H129" s="41" t="s">
        <v>1761</v>
      </c>
      <c r="I129" s="41"/>
      <c r="J129" s="41"/>
      <c r="K129" s="41" t="s">
        <v>1761</v>
      </c>
      <c r="L129" s="44">
        <v>9.0</v>
      </c>
    </row>
    <row r="130" ht="15.75" customHeight="1">
      <c r="A130" s="13" t="s">
        <v>1979</v>
      </c>
      <c r="B130" s="13"/>
      <c r="C130" s="13"/>
      <c r="D130" s="13"/>
      <c r="E130" s="13" t="s">
        <v>1761</v>
      </c>
      <c r="F130" s="13" t="s">
        <v>1763</v>
      </c>
      <c r="G130" s="13" t="s">
        <v>1763</v>
      </c>
      <c r="H130" s="13" t="s">
        <v>1761</v>
      </c>
      <c r="I130" s="13"/>
      <c r="J130" s="13"/>
      <c r="K130" s="13" t="s">
        <v>1761</v>
      </c>
      <c r="L130" s="43">
        <v>8.0</v>
      </c>
    </row>
    <row r="131" ht="15.75" customHeight="1">
      <c r="A131" s="13" t="s">
        <v>1988</v>
      </c>
      <c r="B131" s="13"/>
      <c r="C131" s="13"/>
      <c r="D131" s="13"/>
      <c r="E131" s="13" t="s">
        <v>1761</v>
      </c>
      <c r="F131" s="13" t="s">
        <v>1763</v>
      </c>
      <c r="G131" s="13" t="s">
        <v>1763</v>
      </c>
      <c r="H131" s="13" t="s">
        <v>1761</v>
      </c>
      <c r="I131" s="13"/>
      <c r="J131" s="13"/>
      <c r="K131" s="13" t="s">
        <v>1761</v>
      </c>
      <c r="L131" s="43">
        <v>6.0</v>
      </c>
    </row>
    <row r="132" ht="15.75" customHeight="1">
      <c r="A132" s="13" t="s">
        <v>1998</v>
      </c>
      <c r="B132" s="13"/>
      <c r="C132" s="13"/>
      <c r="D132" s="13"/>
      <c r="E132" s="13" t="s">
        <v>1761</v>
      </c>
      <c r="F132" s="13" t="s">
        <v>1763</v>
      </c>
      <c r="G132" s="13" t="s">
        <v>1763</v>
      </c>
      <c r="H132" s="13" t="s">
        <v>1761</v>
      </c>
      <c r="I132" s="13"/>
      <c r="J132" s="13"/>
      <c r="K132" s="13" t="s">
        <v>1761</v>
      </c>
      <c r="L132" s="43">
        <v>6.0</v>
      </c>
    </row>
    <row r="133" ht="15.75" customHeight="1">
      <c r="A133" s="13" t="s">
        <v>2004</v>
      </c>
      <c r="B133" s="13"/>
      <c r="C133" s="13"/>
      <c r="D133" s="13"/>
      <c r="E133" s="13" t="s">
        <v>1761</v>
      </c>
      <c r="F133" s="13" t="s">
        <v>1763</v>
      </c>
      <c r="G133" s="13" t="s">
        <v>1763</v>
      </c>
      <c r="H133" s="13" t="s">
        <v>1761</v>
      </c>
      <c r="I133" s="13"/>
      <c r="J133" s="13"/>
      <c r="K133" s="13" t="s">
        <v>1761</v>
      </c>
      <c r="L133" s="43">
        <v>5.0</v>
      </c>
    </row>
    <row r="134" ht="15.75" customHeight="1">
      <c r="A134" s="13" t="s">
        <v>2006</v>
      </c>
      <c r="B134" s="13"/>
      <c r="C134" s="13"/>
      <c r="D134" s="13"/>
      <c r="E134" s="13" t="s">
        <v>1761</v>
      </c>
      <c r="F134" s="13" t="s">
        <v>1763</v>
      </c>
      <c r="G134" s="13" t="s">
        <v>1763</v>
      </c>
      <c r="H134" s="13" t="s">
        <v>1761</v>
      </c>
      <c r="I134" s="13"/>
      <c r="J134" s="13"/>
      <c r="K134" s="13" t="s">
        <v>1761</v>
      </c>
      <c r="L134" s="43">
        <v>3.0</v>
      </c>
    </row>
    <row r="135" ht="15.75" customHeight="1">
      <c r="A135" s="13" t="s">
        <v>2011</v>
      </c>
      <c r="B135" s="13"/>
      <c r="C135" s="13"/>
      <c r="D135" s="13"/>
      <c r="E135" s="13" t="s">
        <v>1761</v>
      </c>
      <c r="F135" s="13" t="s">
        <v>1763</v>
      </c>
      <c r="G135" s="13" t="s">
        <v>1763</v>
      </c>
      <c r="H135" s="13" t="s">
        <v>1761</v>
      </c>
      <c r="I135" s="13"/>
      <c r="J135" s="13"/>
      <c r="K135" s="13" t="s">
        <v>1761</v>
      </c>
      <c r="L135" s="43">
        <v>3.0</v>
      </c>
    </row>
    <row r="136" ht="15.75" customHeight="1">
      <c r="A136" s="13" t="s">
        <v>2019</v>
      </c>
      <c r="B136" s="13"/>
      <c r="C136" s="13"/>
      <c r="D136" s="13"/>
      <c r="E136" s="13" t="s">
        <v>1761</v>
      </c>
      <c r="F136" s="13" t="s">
        <v>1763</v>
      </c>
      <c r="G136" s="13" t="s">
        <v>1763</v>
      </c>
      <c r="H136" s="13" t="s">
        <v>1761</v>
      </c>
      <c r="I136" s="13"/>
      <c r="J136" s="13"/>
      <c r="K136" s="13" t="s">
        <v>1761</v>
      </c>
      <c r="L136" s="43">
        <v>2.0</v>
      </c>
    </row>
    <row r="137" ht="15.75" customHeight="1">
      <c r="A137" s="13" t="s">
        <v>2021</v>
      </c>
      <c r="B137" s="13"/>
      <c r="C137" s="13"/>
      <c r="D137" s="13"/>
      <c r="E137" s="13" t="s">
        <v>1761</v>
      </c>
      <c r="F137" s="13" t="s">
        <v>1763</v>
      </c>
      <c r="G137" s="13" t="s">
        <v>1763</v>
      </c>
      <c r="H137" s="13" t="s">
        <v>1761</v>
      </c>
      <c r="I137" s="13"/>
      <c r="J137" s="13"/>
      <c r="K137" s="13" t="s">
        <v>1761</v>
      </c>
      <c r="L137" s="43">
        <v>2.0</v>
      </c>
    </row>
    <row r="138" ht="15.75" customHeight="1">
      <c r="A138" s="13" t="s">
        <v>2023</v>
      </c>
      <c r="B138" s="13"/>
      <c r="C138" s="13"/>
      <c r="D138" s="13"/>
      <c r="E138" s="13" t="s">
        <v>1761</v>
      </c>
      <c r="F138" s="13" t="s">
        <v>1763</v>
      </c>
      <c r="G138" s="13" t="s">
        <v>1763</v>
      </c>
      <c r="H138" s="13" t="s">
        <v>1761</v>
      </c>
      <c r="I138" s="13"/>
      <c r="J138" s="13"/>
      <c r="K138" s="13" t="s">
        <v>1761</v>
      </c>
      <c r="L138" s="43">
        <v>1.0</v>
      </c>
    </row>
    <row r="139" ht="15.75" customHeight="1">
      <c r="A139" s="13" t="s">
        <v>2026</v>
      </c>
      <c r="B139" s="13"/>
      <c r="C139" s="13"/>
      <c r="D139" s="13"/>
      <c r="E139" s="13" t="s">
        <v>1761</v>
      </c>
      <c r="F139" s="13" t="s">
        <v>1763</v>
      </c>
      <c r="G139" s="13" t="s">
        <v>1763</v>
      </c>
      <c r="H139" s="13" t="s">
        <v>1761</v>
      </c>
      <c r="I139" s="13"/>
      <c r="J139" s="13"/>
      <c r="K139" s="13" t="s">
        <v>1761</v>
      </c>
      <c r="L139" s="43">
        <v>1.0</v>
      </c>
    </row>
    <row r="140" ht="15.75" customHeight="1">
      <c r="A140" s="13" t="s">
        <v>2029</v>
      </c>
      <c r="B140" s="13"/>
      <c r="C140" s="13"/>
      <c r="D140" s="13"/>
      <c r="E140" s="13" t="s">
        <v>1761</v>
      </c>
      <c r="F140" s="13" t="s">
        <v>1763</v>
      </c>
      <c r="G140" s="13" t="s">
        <v>1763</v>
      </c>
      <c r="H140" s="13" t="s">
        <v>1761</v>
      </c>
      <c r="I140" s="13"/>
      <c r="J140" s="13"/>
      <c r="K140" s="13" t="s">
        <v>1761</v>
      </c>
      <c r="L140" s="43">
        <v>0.0</v>
      </c>
    </row>
    <row r="141" ht="15.75" customHeight="1">
      <c r="A141" s="42" t="s">
        <v>700</v>
      </c>
    </row>
    <row r="142" ht="15.75" customHeight="1"/>
    <row r="143" ht="15.75" customHeight="1"/>
    <row r="144" ht="15.75" customHeight="1">
      <c r="A144" s="25" t="s">
        <v>2031</v>
      </c>
      <c r="B144" s="26"/>
      <c r="C144" s="26"/>
      <c r="D144" s="26"/>
      <c r="E144" s="26"/>
      <c r="F144" s="26"/>
      <c r="G144" s="26"/>
      <c r="H144" s="26"/>
      <c r="I144" s="26"/>
      <c r="J144" s="26"/>
    </row>
    <row r="145" ht="15.75" customHeight="1">
      <c r="A145" s="27" t="s">
        <v>1779</v>
      </c>
      <c r="B145" s="26"/>
      <c r="C145" s="26"/>
      <c r="D145" s="26"/>
      <c r="E145" s="26"/>
      <c r="F145" s="26"/>
      <c r="G145" s="26"/>
      <c r="H145" s="26"/>
      <c r="I145" s="26"/>
      <c r="J145" s="26"/>
    </row>
    <row r="146" ht="15.75" customHeight="1">
      <c r="A146" s="41" t="s">
        <v>1099</v>
      </c>
      <c r="B146" s="41" t="s">
        <v>1791</v>
      </c>
      <c r="C146" s="41" t="s">
        <v>1793</v>
      </c>
      <c r="D146" s="41" t="s">
        <v>1798</v>
      </c>
      <c r="E146" s="41" t="s">
        <v>2039</v>
      </c>
      <c r="F146" s="41" t="s">
        <v>1796</v>
      </c>
      <c r="G146" s="41" t="s">
        <v>2041</v>
      </c>
      <c r="H146" s="41" t="s">
        <v>1800</v>
      </c>
      <c r="I146" s="41" t="s">
        <v>1101</v>
      </c>
      <c r="J146" s="41" t="s">
        <v>2043</v>
      </c>
    </row>
    <row r="147" ht="15.75" customHeight="1">
      <c r="A147" s="13" t="s">
        <v>1159</v>
      </c>
      <c r="B147" s="43">
        <v>152907.0</v>
      </c>
      <c r="C147" s="43">
        <v>34.0</v>
      </c>
      <c r="D147" s="43">
        <v>33.0</v>
      </c>
      <c r="E147" s="43">
        <v>1.0</v>
      </c>
      <c r="F147" s="43">
        <v>1.0</v>
      </c>
      <c r="G147" s="43">
        <v>152907.0</v>
      </c>
      <c r="H147" s="43">
        <v>2.0</v>
      </c>
      <c r="I147" s="43">
        <v>100.0</v>
      </c>
      <c r="J147" s="43">
        <v>0.0</v>
      </c>
    </row>
    <row r="148" ht="15.75" customHeight="1">
      <c r="A148" s="13" t="s">
        <v>1153</v>
      </c>
      <c r="B148" s="43">
        <v>124965.0</v>
      </c>
      <c r="C148" s="43">
        <v>39.0</v>
      </c>
      <c r="D148" s="43">
        <v>30.0</v>
      </c>
      <c r="E148" s="43">
        <v>9.0</v>
      </c>
      <c r="F148" s="43">
        <v>1.0</v>
      </c>
      <c r="G148" s="43">
        <v>124965.0</v>
      </c>
      <c r="H148" s="43">
        <v>1.0</v>
      </c>
      <c r="I148" s="43">
        <v>200.0</v>
      </c>
      <c r="J148" s="43">
        <v>0.0</v>
      </c>
    </row>
    <row r="149" ht="15.75" customHeight="1">
      <c r="A149" s="13" t="s">
        <v>1167</v>
      </c>
      <c r="B149" s="43">
        <v>123209.0</v>
      </c>
      <c r="C149" s="43">
        <v>25.0</v>
      </c>
      <c r="D149" s="43">
        <v>24.0</v>
      </c>
      <c r="E149" s="43">
        <v>2.0</v>
      </c>
      <c r="F149" s="43">
        <v>1.0</v>
      </c>
      <c r="G149" s="43">
        <v>123209.0</v>
      </c>
      <c r="H149" s="43">
        <v>2.0</v>
      </c>
      <c r="I149" s="43">
        <v>35.0</v>
      </c>
      <c r="J149" s="43">
        <v>3.0</v>
      </c>
    </row>
    <row r="150" ht="15.75" customHeight="1">
      <c r="A150" s="13" t="s">
        <v>1165</v>
      </c>
      <c r="B150" s="43">
        <v>65363.0</v>
      </c>
      <c r="C150" s="43">
        <v>23.0</v>
      </c>
      <c r="D150" s="43">
        <v>17.0</v>
      </c>
      <c r="E150" s="43">
        <v>6.0</v>
      </c>
      <c r="F150" s="43">
        <v>1.0</v>
      </c>
      <c r="G150" s="43">
        <v>65363.0</v>
      </c>
      <c r="H150" s="43">
        <v>1.0</v>
      </c>
      <c r="I150" s="43">
        <v>25.0</v>
      </c>
      <c r="J150" s="43">
        <v>0.0</v>
      </c>
    </row>
    <row r="151" ht="15.75" customHeight="1">
      <c r="A151" s="13" t="s">
        <v>1853</v>
      </c>
      <c r="B151" s="43">
        <v>45676.0</v>
      </c>
      <c r="C151" s="43">
        <v>15.0</v>
      </c>
      <c r="D151" s="43">
        <v>12.0</v>
      </c>
      <c r="E151" s="43">
        <v>3.0</v>
      </c>
      <c r="F151" s="43">
        <v>1.0</v>
      </c>
      <c r="G151" s="43">
        <v>45676.0</v>
      </c>
      <c r="H151" s="43">
        <v>0.0</v>
      </c>
      <c r="I151" s="43">
        <v>0.0</v>
      </c>
      <c r="J151" s="43">
        <v>0.0</v>
      </c>
    </row>
    <row r="152" ht="15.75" customHeight="1">
      <c r="A152" s="13" t="s">
        <v>1824</v>
      </c>
      <c r="B152" s="43">
        <v>43301.0</v>
      </c>
      <c r="C152" s="43">
        <v>14.0</v>
      </c>
      <c r="D152" s="43">
        <v>13.0</v>
      </c>
      <c r="E152" s="43">
        <v>2.0</v>
      </c>
      <c r="F152" s="43">
        <v>1.0</v>
      </c>
      <c r="G152" s="43">
        <v>43301.0</v>
      </c>
      <c r="H152" s="43">
        <v>0.0</v>
      </c>
      <c r="I152" s="43">
        <v>0.0</v>
      </c>
      <c r="J152" s="43">
        <v>0.0</v>
      </c>
    </row>
    <row r="153" ht="15.75" customHeight="1">
      <c r="A153" s="13" t="s">
        <v>1857</v>
      </c>
      <c r="B153" s="43">
        <v>41146.0</v>
      </c>
      <c r="C153" s="43">
        <v>8.0</v>
      </c>
      <c r="D153" s="43">
        <v>7.0</v>
      </c>
      <c r="E153" s="43">
        <v>1.0</v>
      </c>
      <c r="F153" s="43">
        <v>1.0</v>
      </c>
      <c r="G153" s="43">
        <v>41146.0</v>
      </c>
      <c r="H153" s="43">
        <v>0.0</v>
      </c>
      <c r="I153" s="43">
        <v>0.0</v>
      </c>
      <c r="J153" s="43">
        <v>0.0</v>
      </c>
    </row>
    <row r="154" ht="15.75" customHeight="1">
      <c r="A154" s="13" t="s">
        <v>1822</v>
      </c>
      <c r="B154" s="43">
        <v>32088.0</v>
      </c>
      <c r="C154" s="43">
        <v>13.0</v>
      </c>
      <c r="D154" s="43">
        <v>10.0</v>
      </c>
      <c r="E154" s="43">
        <v>3.0</v>
      </c>
      <c r="F154" s="43">
        <v>1.0</v>
      </c>
      <c r="G154" s="43">
        <v>32088.0</v>
      </c>
      <c r="H154" s="43">
        <v>0.0</v>
      </c>
      <c r="I154" s="43">
        <v>0.0</v>
      </c>
      <c r="J154" s="43">
        <v>0.0</v>
      </c>
    </row>
    <row r="155" ht="15.75" customHeight="1">
      <c r="A155" s="13" t="s">
        <v>1864</v>
      </c>
      <c r="B155" s="43">
        <v>31863.0</v>
      </c>
      <c r="C155" s="43">
        <v>17.0</v>
      </c>
      <c r="D155" s="43">
        <v>10.0</v>
      </c>
      <c r="E155" s="43">
        <v>8.0</v>
      </c>
      <c r="F155" s="43">
        <v>1.0</v>
      </c>
      <c r="G155" s="43">
        <v>31863.0</v>
      </c>
      <c r="H155" s="43">
        <v>0.0</v>
      </c>
      <c r="I155" s="43">
        <v>0.0</v>
      </c>
      <c r="J155" s="43">
        <v>0.0</v>
      </c>
    </row>
    <row r="156" ht="15.75" customHeight="1">
      <c r="A156" s="13" t="s">
        <v>1813</v>
      </c>
      <c r="B156" s="43">
        <v>30828.0</v>
      </c>
      <c r="C156" s="43">
        <v>13.0</v>
      </c>
      <c r="D156" s="43">
        <v>13.0</v>
      </c>
      <c r="E156" s="43">
        <v>0.0</v>
      </c>
      <c r="F156" s="43">
        <v>1.0</v>
      </c>
      <c r="G156" s="43">
        <v>30828.0</v>
      </c>
      <c r="H156" s="43">
        <v>0.0</v>
      </c>
      <c r="I156" s="43">
        <v>0.0</v>
      </c>
      <c r="J156" s="43">
        <v>0.0</v>
      </c>
    </row>
    <row r="157" ht="15.75" customHeight="1">
      <c r="A157" s="13" t="s">
        <v>1875</v>
      </c>
      <c r="B157" s="43">
        <v>30332.0</v>
      </c>
      <c r="C157" s="43">
        <v>11.0</v>
      </c>
      <c r="D157" s="43">
        <v>5.0</v>
      </c>
      <c r="E157" s="43">
        <v>6.0</v>
      </c>
      <c r="F157" s="43">
        <v>1.0</v>
      </c>
      <c r="G157" s="43">
        <v>30332.0</v>
      </c>
      <c r="H157" s="43">
        <v>0.0</v>
      </c>
      <c r="I157" s="43">
        <v>0.0</v>
      </c>
      <c r="J157" s="43">
        <v>0.0</v>
      </c>
    </row>
    <row r="158" ht="15.75" customHeight="1">
      <c r="A158" s="13" t="s">
        <v>1847</v>
      </c>
      <c r="B158" s="43">
        <v>19750.0</v>
      </c>
      <c r="C158" s="43">
        <v>9.0</v>
      </c>
      <c r="D158" s="43">
        <v>4.0</v>
      </c>
      <c r="E158" s="43">
        <v>5.0</v>
      </c>
      <c r="F158" s="43">
        <v>1.0</v>
      </c>
      <c r="G158" s="43">
        <v>19750.0</v>
      </c>
      <c r="H158" s="43">
        <v>0.0</v>
      </c>
      <c r="I158" s="43">
        <v>0.0</v>
      </c>
      <c r="J158" s="43">
        <v>0.0</v>
      </c>
    </row>
    <row r="159" ht="15.75" customHeight="1">
      <c r="A159" s="13" t="s">
        <v>1963</v>
      </c>
      <c r="B159" s="43">
        <v>741428.0</v>
      </c>
      <c r="C159" s="43">
        <v>221.0</v>
      </c>
      <c r="D159" s="43">
        <v>178.0</v>
      </c>
      <c r="E159" s="43">
        <v>46.0</v>
      </c>
      <c r="F159" s="43">
        <v>12.0</v>
      </c>
      <c r="G159" s="43">
        <v>61786.0</v>
      </c>
      <c r="H159" s="43">
        <v>6.0</v>
      </c>
      <c r="I159" s="43">
        <v>360.0</v>
      </c>
      <c r="J159" s="43">
        <v>3.0</v>
      </c>
    </row>
    <row r="160" ht="15.75" customHeight="1">
      <c r="A160" s="13" t="s">
        <v>2077</v>
      </c>
      <c r="B160" s="43">
        <v>383383.0</v>
      </c>
      <c r="C160" s="43">
        <v>37.0</v>
      </c>
      <c r="D160" s="43">
        <v>39.0</v>
      </c>
      <c r="E160" s="43">
        <v>1.0</v>
      </c>
      <c r="F160" s="43">
        <v>1.0</v>
      </c>
      <c r="G160" s="43">
        <v>383383.0</v>
      </c>
      <c r="H160" s="43">
        <v>6.0</v>
      </c>
      <c r="I160" s="43">
        <v>512.0</v>
      </c>
      <c r="J160" s="43">
        <v>18.0</v>
      </c>
    </row>
    <row r="161" ht="15.75" customHeight="1">
      <c r="A161" s="42" t="s">
        <v>705</v>
      </c>
    </row>
    <row r="162" ht="15.75" customHeight="1"/>
    <row r="163" ht="15.75" customHeight="1"/>
    <row r="164" ht="15.75" customHeight="1">
      <c r="A164" s="25" t="s">
        <v>2086</v>
      </c>
      <c r="B164" s="26"/>
      <c r="C164" s="26"/>
      <c r="D164" s="26"/>
      <c r="E164" s="26"/>
      <c r="F164" s="26"/>
      <c r="G164" s="26"/>
      <c r="H164" s="26"/>
      <c r="I164" s="26"/>
      <c r="J164" s="26"/>
      <c r="K164" s="26"/>
      <c r="L164" s="26"/>
    </row>
    <row r="165" ht="15.75" customHeight="1">
      <c r="A165" s="27" t="s">
        <v>2087</v>
      </c>
      <c r="B165" s="26"/>
      <c r="C165" s="26"/>
      <c r="D165" s="26"/>
      <c r="E165" s="26"/>
      <c r="F165" s="26"/>
      <c r="G165" s="26"/>
      <c r="H165" s="26"/>
      <c r="I165" s="26"/>
      <c r="J165" s="26"/>
      <c r="K165" s="26"/>
      <c r="L165" s="26"/>
    </row>
    <row r="166" ht="15.75" customHeight="1">
      <c r="A166" s="41" t="s">
        <v>1159</v>
      </c>
      <c r="B166" s="41"/>
      <c r="C166" s="41"/>
      <c r="D166" s="41"/>
      <c r="E166" s="41" t="s">
        <v>1761</v>
      </c>
      <c r="F166" s="41" t="s">
        <v>1763</v>
      </c>
      <c r="G166" s="41" t="s">
        <v>1763</v>
      </c>
      <c r="H166" s="41" t="s">
        <v>1761</v>
      </c>
      <c r="I166" s="41"/>
      <c r="J166" s="41"/>
      <c r="K166" s="41" t="s">
        <v>1761</v>
      </c>
      <c r="L166" s="44">
        <v>152907.0</v>
      </c>
    </row>
    <row r="167" ht="15.75" customHeight="1">
      <c r="A167" s="13" t="s">
        <v>1153</v>
      </c>
      <c r="B167" s="13"/>
      <c r="C167" s="13"/>
      <c r="D167" s="13"/>
      <c r="E167" s="13" t="s">
        <v>1761</v>
      </c>
      <c r="F167" s="13" t="s">
        <v>1763</v>
      </c>
      <c r="G167" s="13" t="s">
        <v>1763</v>
      </c>
      <c r="H167" s="13" t="s">
        <v>1761</v>
      </c>
      <c r="I167" s="13"/>
      <c r="J167" s="13"/>
      <c r="K167" s="13" t="s">
        <v>1761</v>
      </c>
      <c r="L167" s="43">
        <v>124965.0</v>
      </c>
    </row>
    <row r="168" ht="15.75" customHeight="1">
      <c r="A168" s="13" t="s">
        <v>1167</v>
      </c>
      <c r="B168" s="13"/>
      <c r="C168" s="13"/>
      <c r="D168" s="13"/>
      <c r="E168" s="13" t="s">
        <v>1761</v>
      </c>
      <c r="F168" s="13" t="s">
        <v>1763</v>
      </c>
      <c r="G168" s="13" t="s">
        <v>1763</v>
      </c>
      <c r="H168" s="13" t="s">
        <v>1761</v>
      </c>
      <c r="I168" s="13"/>
      <c r="J168" s="13"/>
      <c r="K168" s="13" t="s">
        <v>1761</v>
      </c>
      <c r="L168" s="43">
        <v>123209.0</v>
      </c>
    </row>
    <row r="169" ht="15.75" customHeight="1">
      <c r="A169" s="13" t="s">
        <v>1165</v>
      </c>
      <c r="B169" s="13"/>
      <c r="C169" s="13"/>
      <c r="D169" s="13"/>
      <c r="E169" s="13" t="s">
        <v>1761</v>
      </c>
      <c r="F169" s="13" t="s">
        <v>1763</v>
      </c>
      <c r="G169" s="13" t="s">
        <v>1763</v>
      </c>
      <c r="H169" s="13" t="s">
        <v>1761</v>
      </c>
      <c r="I169" s="13"/>
      <c r="J169" s="13"/>
      <c r="K169" s="13" t="s">
        <v>1761</v>
      </c>
      <c r="L169" s="43">
        <v>65363.0</v>
      </c>
    </row>
    <row r="170" ht="15.75" customHeight="1">
      <c r="A170" s="13" t="s">
        <v>1853</v>
      </c>
      <c r="B170" s="13"/>
      <c r="C170" s="13"/>
      <c r="D170" s="13"/>
      <c r="E170" s="13" t="s">
        <v>1761</v>
      </c>
      <c r="F170" s="13" t="s">
        <v>1763</v>
      </c>
      <c r="G170" s="13" t="s">
        <v>1763</v>
      </c>
      <c r="H170" s="13" t="s">
        <v>1761</v>
      </c>
      <c r="I170" s="13"/>
      <c r="J170" s="13"/>
      <c r="K170" s="13" t="s">
        <v>1761</v>
      </c>
      <c r="L170" s="43">
        <v>45676.0</v>
      </c>
    </row>
    <row r="171" ht="15.75" customHeight="1">
      <c r="A171" s="13" t="s">
        <v>1824</v>
      </c>
      <c r="B171" s="13"/>
      <c r="C171" s="13"/>
      <c r="D171" s="13"/>
      <c r="E171" s="13" t="s">
        <v>1761</v>
      </c>
      <c r="F171" s="13" t="s">
        <v>1763</v>
      </c>
      <c r="G171" s="13" t="s">
        <v>1763</v>
      </c>
      <c r="H171" s="13" t="s">
        <v>1761</v>
      </c>
      <c r="I171" s="13"/>
      <c r="J171" s="13"/>
      <c r="K171" s="13" t="s">
        <v>1761</v>
      </c>
      <c r="L171" s="43">
        <v>43301.0</v>
      </c>
    </row>
    <row r="172" ht="15.75" customHeight="1">
      <c r="A172" s="13" t="s">
        <v>1857</v>
      </c>
      <c r="B172" s="13"/>
      <c r="C172" s="13"/>
      <c r="D172" s="13"/>
      <c r="E172" s="13" t="s">
        <v>1761</v>
      </c>
      <c r="F172" s="13" t="s">
        <v>1763</v>
      </c>
      <c r="G172" s="13" t="s">
        <v>1763</v>
      </c>
      <c r="H172" s="13" t="s">
        <v>1761</v>
      </c>
      <c r="I172" s="13"/>
      <c r="J172" s="13"/>
      <c r="K172" s="13" t="s">
        <v>1761</v>
      </c>
      <c r="L172" s="43">
        <v>41146.0</v>
      </c>
    </row>
    <row r="173" ht="15.75" customHeight="1">
      <c r="A173" s="13" t="s">
        <v>1822</v>
      </c>
      <c r="B173" s="13"/>
      <c r="C173" s="13"/>
      <c r="D173" s="13"/>
      <c r="E173" s="13" t="s">
        <v>1761</v>
      </c>
      <c r="F173" s="13" t="s">
        <v>1763</v>
      </c>
      <c r="G173" s="13" t="s">
        <v>1763</v>
      </c>
      <c r="H173" s="13" t="s">
        <v>1761</v>
      </c>
      <c r="I173" s="13"/>
      <c r="J173" s="13"/>
      <c r="K173" s="13" t="s">
        <v>1761</v>
      </c>
      <c r="L173" s="43">
        <v>32088.0</v>
      </c>
    </row>
    <row r="174" ht="15.75" customHeight="1">
      <c r="A174" s="13" t="s">
        <v>1864</v>
      </c>
      <c r="B174" s="13"/>
      <c r="C174" s="13"/>
      <c r="D174" s="13"/>
      <c r="E174" s="13" t="s">
        <v>1761</v>
      </c>
      <c r="F174" s="13" t="s">
        <v>1763</v>
      </c>
      <c r="G174" s="13" t="s">
        <v>1763</v>
      </c>
      <c r="H174" s="13" t="s">
        <v>1761</v>
      </c>
      <c r="I174" s="13"/>
      <c r="J174" s="13"/>
      <c r="K174" s="13" t="s">
        <v>1761</v>
      </c>
      <c r="L174" s="43">
        <v>31863.0</v>
      </c>
    </row>
    <row r="175" ht="15.75" customHeight="1">
      <c r="A175" s="13" t="s">
        <v>1813</v>
      </c>
      <c r="B175" s="13"/>
      <c r="C175" s="13"/>
      <c r="D175" s="13"/>
      <c r="E175" s="13" t="s">
        <v>1761</v>
      </c>
      <c r="F175" s="13" t="s">
        <v>1763</v>
      </c>
      <c r="G175" s="13" t="s">
        <v>1763</v>
      </c>
      <c r="H175" s="13" t="s">
        <v>1761</v>
      </c>
      <c r="I175" s="13"/>
      <c r="J175" s="13"/>
      <c r="K175" s="13" t="s">
        <v>1761</v>
      </c>
      <c r="L175" s="43">
        <v>30828.0</v>
      </c>
    </row>
    <row r="176" ht="15.75" customHeight="1">
      <c r="A176" s="13" t="s">
        <v>1875</v>
      </c>
      <c r="B176" s="13"/>
      <c r="C176" s="13"/>
      <c r="D176" s="13"/>
      <c r="E176" s="13" t="s">
        <v>1761</v>
      </c>
      <c r="F176" s="13" t="s">
        <v>1763</v>
      </c>
      <c r="G176" s="13" t="s">
        <v>1763</v>
      </c>
      <c r="H176" s="13" t="s">
        <v>1761</v>
      </c>
      <c r="I176" s="13"/>
      <c r="J176" s="13"/>
      <c r="K176" s="13" t="s">
        <v>1761</v>
      </c>
      <c r="L176" s="43">
        <v>30332.0</v>
      </c>
    </row>
    <row r="177" ht="15.75" customHeight="1">
      <c r="A177" s="13" t="s">
        <v>1847</v>
      </c>
      <c r="B177" s="13"/>
      <c r="C177" s="13"/>
      <c r="D177" s="13"/>
      <c r="E177" s="13" t="s">
        <v>1761</v>
      </c>
      <c r="F177" s="13" t="s">
        <v>1763</v>
      </c>
      <c r="G177" s="13" t="s">
        <v>1763</v>
      </c>
      <c r="H177" s="13" t="s">
        <v>1761</v>
      </c>
      <c r="I177" s="13"/>
      <c r="J177" s="13"/>
      <c r="K177" s="13" t="s">
        <v>1761</v>
      </c>
      <c r="L177" s="43">
        <v>19750.0</v>
      </c>
    </row>
    <row r="178" ht="15.75" customHeight="1">
      <c r="A178" s="13" t="s">
        <v>2107</v>
      </c>
      <c r="B178" s="13"/>
      <c r="C178" s="13"/>
      <c r="D178" s="13"/>
      <c r="E178" s="13" t="s">
        <v>1761</v>
      </c>
      <c r="F178" s="13" t="s">
        <v>1763</v>
      </c>
      <c r="G178" s="13" t="s">
        <v>1763</v>
      </c>
      <c r="H178" s="13" t="s">
        <v>1761</v>
      </c>
      <c r="I178" s="13"/>
      <c r="J178" s="13"/>
      <c r="K178" s="13" t="s">
        <v>1761</v>
      </c>
      <c r="L178" s="43">
        <v>20000.0</v>
      </c>
    </row>
    <row r="179" ht="15.75" customHeight="1">
      <c r="A179" s="42" t="s">
        <v>710</v>
      </c>
    </row>
    <row r="180" ht="15.75" customHeight="1"/>
    <row r="181" ht="15.75" customHeight="1"/>
    <row r="182" ht="15.75" customHeight="1">
      <c r="A182" s="25" t="s">
        <v>2111</v>
      </c>
      <c r="B182" s="26"/>
      <c r="C182" s="26"/>
      <c r="D182" s="26"/>
      <c r="E182" s="26"/>
      <c r="F182" s="26"/>
      <c r="G182" s="26"/>
      <c r="H182" s="26"/>
      <c r="I182" s="26"/>
      <c r="J182" s="26"/>
      <c r="K182" s="26"/>
      <c r="L182" s="26"/>
    </row>
    <row r="183" ht="15.75" customHeight="1">
      <c r="A183" s="27" t="s">
        <v>2116</v>
      </c>
      <c r="B183" s="26"/>
      <c r="C183" s="26"/>
      <c r="D183" s="26"/>
      <c r="E183" s="26"/>
      <c r="F183" s="26"/>
      <c r="G183" s="26"/>
      <c r="H183" s="26"/>
      <c r="I183" s="26"/>
      <c r="J183" s="26"/>
      <c r="K183" s="26"/>
      <c r="L183" s="26"/>
    </row>
    <row r="184" ht="15.75" customHeight="1">
      <c r="A184" s="41" t="s">
        <v>2119</v>
      </c>
      <c r="B184" s="41"/>
      <c r="C184" s="41"/>
      <c r="D184" s="41"/>
      <c r="E184" s="41" t="s">
        <v>1761</v>
      </c>
      <c r="F184" s="41" t="s">
        <v>1763</v>
      </c>
      <c r="G184" s="41" t="s">
        <v>1763</v>
      </c>
      <c r="H184" s="41" t="s">
        <v>1761</v>
      </c>
      <c r="I184" s="41"/>
      <c r="J184" s="41"/>
      <c r="K184" s="41" t="s">
        <v>1761</v>
      </c>
      <c r="L184" s="44">
        <v>59.6</v>
      </c>
    </row>
    <row r="185" ht="15.75" customHeight="1">
      <c r="A185" s="13" t="s">
        <v>2124</v>
      </c>
      <c r="B185" s="13"/>
      <c r="C185" s="13"/>
      <c r="D185" s="13"/>
      <c r="E185" s="13" t="s">
        <v>1761</v>
      </c>
      <c r="F185" s="13" t="s">
        <v>1763</v>
      </c>
      <c r="G185" s="13" t="s">
        <v>1763</v>
      </c>
      <c r="H185" s="13" t="s">
        <v>1761</v>
      </c>
      <c r="I185" s="13"/>
      <c r="J185" s="13"/>
      <c r="K185" s="13" t="s">
        <v>1761</v>
      </c>
      <c r="L185" s="43">
        <v>68.6</v>
      </c>
    </row>
    <row r="186" ht="15.75" customHeight="1">
      <c r="A186" s="13" t="s">
        <v>2125</v>
      </c>
      <c r="B186" s="13"/>
      <c r="C186" s="13"/>
      <c r="D186" s="13"/>
      <c r="E186" s="13" t="s">
        <v>1761</v>
      </c>
      <c r="F186" s="13" t="s">
        <v>1763</v>
      </c>
      <c r="G186" s="13" t="s">
        <v>1763</v>
      </c>
      <c r="H186" s="13" t="s">
        <v>1761</v>
      </c>
      <c r="I186" s="13"/>
      <c r="J186" s="13"/>
      <c r="K186" s="13" t="s">
        <v>1761</v>
      </c>
      <c r="L186" s="43">
        <v>18.4</v>
      </c>
    </row>
    <row r="187" ht="15.75" customHeight="1">
      <c r="A187" s="13" t="s">
        <v>2127</v>
      </c>
      <c r="B187" s="13"/>
      <c r="C187" s="13"/>
      <c r="D187" s="13"/>
      <c r="E187" s="13" t="s">
        <v>1761</v>
      </c>
      <c r="F187" s="13" t="s">
        <v>1763</v>
      </c>
      <c r="G187" s="13" t="s">
        <v>1763</v>
      </c>
      <c r="H187" s="13" t="s">
        <v>1761</v>
      </c>
      <c r="I187" s="13"/>
      <c r="J187" s="13"/>
      <c r="K187" s="13" t="s">
        <v>1761</v>
      </c>
      <c r="L187" s="43">
        <v>98.0</v>
      </c>
    </row>
    <row r="188" ht="15.75" customHeight="1">
      <c r="A188" s="13" t="s">
        <v>2128</v>
      </c>
      <c r="B188" s="13"/>
      <c r="C188" s="13"/>
      <c r="D188" s="13"/>
      <c r="E188" s="13" t="s">
        <v>1761</v>
      </c>
      <c r="F188" s="13" t="s">
        <v>1763</v>
      </c>
      <c r="G188" s="13" t="s">
        <v>1763</v>
      </c>
      <c r="H188" s="13" t="s">
        <v>1761</v>
      </c>
      <c r="I188" s="13"/>
      <c r="J188" s="13"/>
      <c r="K188" s="13" t="s">
        <v>1761</v>
      </c>
      <c r="L188" s="43">
        <v>24.0</v>
      </c>
    </row>
    <row r="189" ht="15.75" customHeight="1">
      <c r="A189" s="42" t="s">
        <v>726</v>
      </c>
    </row>
    <row r="190" ht="15.75" customHeight="1"/>
    <row r="191" ht="15.75" customHeight="1"/>
    <row r="192" ht="15.75" customHeight="1">
      <c r="A192" s="25" t="s">
        <v>1363</v>
      </c>
      <c r="B192" s="26"/>
      <c r="C192" s="26"/>
      <c r="D192" s="26"/>
    </row>
    <row r="193" ht="15.75" customHeight="1">
      <c r="A193" s="27" t="s">
        <v>2129</v>
      </c>
      <c r="B193" s="26"/>
      <c r="C193" s="26"/>
      <c r="D193" s="26"/>
    </row>
    <row r="194" ht="15.75" customHeight="1">
      <c r="A194" s="41" t="s">
        <v>2130</v>
      </c>
      <c r="B194" s="41" t="s">
        <v>2131</v>
      </c>
      <c r="C194" s="41" t="s">
        <v>2133</v>
      </c>
      <c r="D194" s="41" t="s">
        <v>1942</v>
      </c>
    </row>
    <row r="195" ht="15.75" customHeight="1"/>
    <row r="196" ht="15.75" customHeight="1"/>
    <row r="197" ht="15.75" customHeight="1">
      <c r="A197" s="25" t="s">
        <v>2134</v>
      </c>
      <c r="B197" s="26"/>
      <c r="C197" s="26"/>
      <c r="D197" s="26"/>
    </row>
    <row r="198" ht="15.75" customHeight="1">
      <c r="A198" s="27" t="s">
        <v>2135</v>
      </c>
      <c r="B198" s="26"/>
      <c r="C198" s="26"/>
      <c r="D198" s="26"/>
    </row>
    <row r="199" ht="15.75" customHeight="1">
      <c r="A199" s="41" t="s">
        <v>1367</v>
      </c>
      <c r="B199" s="41" t="s">
        <v>1772</v>
      </c>
      <c r="C199" s="41" t="s">
        <v>2136</v>
      </c>
      <c r="D199" s="41" t="s">
        <v>2137</v>
      </c>
    </row>
    <row r="200" ht="15.75" customHeight="1"/>
    <row r="201" ht="15.75" customHeight="1"/>
    <row r="202" ht="15.75" customHeight="1">
      <c r="A202" s="25" t="s">
        <v>2138</v>
      </c>
      <c r="B202" s="26"/>
      <c r="C202" s="26"/>
      <c r="D202" s="26"/>
      <c r="E202" s="26"/>
    </row>
    <row r="203" ht="15.75" customHeight="1">
      <c r="A203" s="27" t="s">
        <v>2139</v>
      </c>
      <c r="B203" s="26"/>
      <c r="C203" s="26"/>
      <c r="D203" s="26"/>
      <c r="E203" s="26"/>
    </row>
    <row r="204" ht="15.75" customHeight="1">
      <c r="A204" s="41" t="s">
        <v>2140</v>
      </c>
      <c r="B204" s="41" t="s">
        <v>1104</v>
      </c>
      <c r="C204" s="41" t="s">
        <v>1116</v>
      </c>
      <c r="D204" s="41" t="s">
        <v>1134</v>
      </c>
      <c r="E204" s="41" t="s">
        <v>1101</v>
      </c>
    </row>
    <row r="205" ht="15.75" customHeight="1">
      <c r="A205" s="13" t="s">
        <v>2141</v>
      </c>
      <c r="B205" s="43">
        <v>128.0</v>
      </c>
      <c r="C205" s="43">
        <v>0.0</v>
      </c>
      <c r="D205" s="43">
        <v>128.0</v>
      </c>
      <c r="E205" s="43">
        <v>0.0</v>
      </c>
    </row>
    <row r="206" ht="15.75" customHeight="1">
      <c r="A206" s="13" t="s">
        <v>1419</v>
      </c>
      <c r="B206" s="43">
        <v>24.0</v>
      </c>
      <c r="C206" s="43">
        <v>0.0</v>
      </c>
      <c r="D206" s="43">
        <v>24.0</v>
      </c>
      <c r="E206" s="43">
        <v>2.0</v>
      </c>
    </row>
    <row r="207" ht="15.75" customHeight="1">
      <c r="A207" s="13" t="s">
        <v>1276</v>
      </c>
      <c r="B207" s="43">
        <v>27.0</v>
      </c>
      <c r="C207" s="43">
        <v>30.0</v>
      </c>
      <c r="D207" s="43">
        <v>57.0</v>
      </c>
      <c r="E207" s="43">
        <v>134.0</v>
      </c>
    </row>
    <row r="208" ht="15.75" customHeight="1">
      <c r="A208" s="13" t="s">
        <v>1097</v>
      </c>
      <c r="B208" s="43">
        <v>3.0</v>
      </c>
      <c r="C208" s="43">
        <v>3.0</v>
      </c>
      <c r="D208" s="43">
        <v>6.0</v>
      </c>
      <c r="E208" s="43">
        <v>542.0</v>
      </c>
    </row>
    <row r="209" ht="15.75" customHeight="1">
      <c r="A209" s="13" t="s">
        <v>1170</v>
      </c>
      <c r="B209" s="43">
        <v>0.0</v>
      </c>
      <c r="C209" s="43">
        <v>6.0</v>
      </c>
      <c r="D209" s="43">
        <v>6.0</v>
      </c>
      <c r="E209" s="43">
        <v>106.0</v>
      </c>
    </row>
    <row r="210" ht="15.75" customHeight="1">
      <c r="A210" s="13" t="s">
        <v>2143</v>
      </c>
      <c r="B210" s="43">
        <v>1.0</v>
      </c>
      <c r="C210" s="43">
        <v>0.0</v>
      </c>
      <c r="D210" s="43">
        <v>1.0</v>
      </c>
      <c r="E210" s="43">
        <v>0.0</v>
      </c>
    </row>
    <row r="211" ht="15.75" customHeight="1">
      <c r="A211" s="13" t="s">
        <v>1134</v>
      </c>
      <c r="B211" s="43">
        <v>183.0</v>
      </c>
      <c r="C211" s="43">
        <v>39.0</v>
      </c>
      <c r="D211" s="43">
        <v>222.0</v>
      </c>
      <c r="E211" s="43">
        <v>784.0</v>
      </c>
    </row>
    <row r="212" ht="15.75" customHeight="1">
      <c r="A212" s="42" t="s">
        <v>892</v>
      </c>
    </row>
    <row r="213" ht="15.75" customHeight="1"/>
    <row r="214" ht="15.75" customHeight="1"/>
    <row r="215" ht="15.75" customHeight="1">
      <c r="A215" s="25" t="s">
        <v>2147</v>
      </c>
      <c r="B215" s="26"/>
      <c r="C215" s="26"/>
      <c r="D215" s="26"/>
    </row>
    <row r="216" ht="15.75" customHeight="1">
      <c r="A216" s="27" t="s">
        <v>2154</v>
      </c>
      <c r="B216" s="26"/>
      <c r="C216" s="26"/>
      <c r="D216" s="26"/>
    </row>
    <row r="217" ht="15.75" customHeight="1">
      <c r="A217" s="41"/>
      <c r="B217" s="41" t="s">
        <v>2157</v>
      </c>
      <c r="C217" s="41" t="s">
        <v>2159</v>
      </c>
    </row>
    <row r="218" ht="15.75" customHeight="1">
      <c r="A218" s="13" t="s">
        <v>2160</v>
      </c>
      <c r="B218" s="13" t="s">
        <v>2162</v>
      </c>
      <c r="C218" s="13" t="s">
        <v>2165</v>
      </c>
    </row>
    <row r="219" ht="15.75" customHeight="1">
      <c r="A219" s="13" t="s">
        <v>2166</v>
      </c>
      <c r="B219" s="13" t="s">
        <v>2168</v>
      </c>
      <c r="C219" s="13" t="s">
        <v>2170</v>
      </c>
    </row>
    <row r="220" ht="15.75" customHeight="1">
      <c r="A220" s="13" t="s">
        <v>2173</v>
      </c>
      <c r="B220" s="13" t="s">
        <v>2175</v>
      </c>
      <c r="C220" s="13" t="s">
        <v>2178</v>
      </c>
    </row>
    <row r="221" ht="15.75" customHeight="1">
      <c r="A221" s="13" t="s">
        <v>2179</v>
      </c>
      <c r="B221" s="13" t="s">
        <v>2182</v>
      </c>
      <c r="C221" s="13" t="s">
        <v>2184</v>
      </c>
    </row>
    <row r="222" ht="15.75" customHeight="1">
      <c r="A222" s="42" t="s">
        <v>898</v>
      </c>
    </row>
    <row r="223" ht="15.75" customHeight="1"/>
    <row r="224" ht="15.75" customHeight="1"/>
    <row r="225" ht="15.75" customHeight="1">
      <c r="A225" s="25" t="s">
        <v>2187</v>
      </c>
      <c r="B225" s="26"/>
      <c r="C225" s="26"/>
      <c r="D225" s="26"/>
    </row>
    <row r="226" ht="15.75" customHeight="1">
      <c r="A226" s="27" t="s">
        <v>2191</v>
      </c>
      <c r="B226" s="26"/>
      <c r="C226" s="26"/>
      <c r="D226" s="26"/>
    </row>
    <row r="227" ht="15.75" customHeight="1">
      <c r="A227" s="41" t="s">
        <v>2192</v>
      </c>
      <c r="B227" s="44">
        <v>5.7</v>
      </c>
      <c r="C227" s="41" t="s">
        <v>2193</v>
      </c>
      <c r="D227" s="44">
        <v>6.0</v>
      </c>
    </row>
    <row r="228" ht="15.75" customHeight="1">
      <c r="A228" s="13" t="s">
        <v>2194</v>
      </c>
      <c r="B228" s="13" t="s">
        <v>2195</v>
      </c>
      <c r="C228" s="13" t="s">
        <v>2196</v>
      </c>
      <c r="D228" s="13" t="s">
        <v>2197</v>
      </c>
    </row>
    <row r="229" ht="15.75" customHeight="1">
      <c r="A229" s="42" t="s">
        <v>975</v>
      </c>
    </row>
    <row r="230" ht="15.75" customHeight="1"/>
    <row r="231" ht="15.75" customHeight="1"/>
    <row r="232" ht="15.75" customHeight="1">
      <c r="A232" s="25" t="s">
        <v>2198</v>
      </c>
      <c r="B232" s="26"/>
      <c r="C232" s="26"/>
      <c r="D232" s="26"/>
      <c r="E232" s="26"/>
      <c r="F232" s="26"/>
      <c r="G232" s="26"/>
      <c r="H232" s="26"/>
      <c r="I232" s="26"/>
      <c r="J232" s="26"/>
      <c r="K232" s="26"/>
      <c r="L232" s="26"/>
      <c r="M232" s="26"/>
    </row>
    <row r="233" ht="15.75" customHeight="1">
      <c r="A233" s="27" t="s">
        <v>1779</v>
      </c>
      <c r="B233" s="26"/>
      <c r="C233" s="26"/>
      <c r="D233" s="26"/>
      <c r="E233" s="26"/>
      <c r="F233" s="26"/>
      <c r="G233" s="26"/>
      <c r="H233" s="26"/>
      <c r="I233" s="26"/>
      <c r="J233" s="26"/>
      <c r="K233" s="26"/>
      <c r="L233" s="26"/>
      <c r="M233" s="26"/>
    </row>
    <row r="234" ht="15.75" customHeight="1">
      <c r="A234" s="41" t="s">
        <v>1099</v>
      </c>
      <c r="B234" s="41" t="s">
        <v>2200</v>
      </c>
      <c r="C234" s="41" t="s">
        <v>1791</v>
      </c>
      <c r="D234" s="41" t="s">
        <v>2201</v>
      </c>
      <c r="E234" s="41" t="s">
        <v>2202</v>
      </c>
      <c r="F234" s="41" t="s">
        <v>2203</v>
      </c>
      <c r="G234" s="41" t="s">
        <v>1796</v>
      </c>
      <c r="H234" s="41" t="s">
        <v>1798</v>
      </c>
      <c r="I234" s="41" t="s">
        <v>2204</v>
      </c>
      <c r="J234" s="41" t="s">
        <v>2205</v>
      </c>
      <c r="K234" s="41" t="s">
        <v>998</v>
      </c>
      <c r="L234" s="41" t="s">
        <v>2206</v>
      </c>
      <c r="M234" s="41" t="s">
        <v>1804</v>
      </c>
    </row>
    <row r="235" ht="15.75" customHeight="1">
      <c r="A235" s="13" t="s">
        <v>1911</v>
      </c>
      <c r="B235" s="43">
        <v>46.0</v>
      </c>
      <c r="C235" s="43">
        <v>36427.0</v>
      </c>
      <c r="D235" s="43">
        <v>7.0</v>
      </c>
      <c r="E235" s="43">
        <v>7.0</v>
      </c>
      <c r="F235" s="43">
        <v>8.0</v>
      </c>
      <c r="G235" s="43">
        <v>1.0</v>
      </c>
      <c r="H235" s="43">
        <v>7.0</v>
      </c>
      <c r="I235" s="43">
        <v>0.0</v>
      </c>
      <c r="J235" s="43">
        <v>7.0</v>
      </c>
      <c r="K235" s="43">
        <v>1.0</v>
      </c>
      <c r="L235" s="43">
        <v>0.0</v>
      </c>
      <c r="M235" s="43">
        <v>36427.0</v>
      </c>
    </row>
    <row r="236" ht="15.75" customHeight="1">
      <c r="A236" s="13" t="s">
        <v>1913</v>
      </c>
      <c r="B236" s="43">
        <v>47.0</v>
      </c>
      <c r="C236" s="43">
        <v>33721.0</v>
      </c>
      <c r="D236" s="43">
        <v>9.0</v>
      </c>
      <c r="E236" s="43">
        <v>9.0</v>
      </c>
      <c r="F236" s="43">
        <v>9.0</v>
      </c>
      <c r="G236" s="43">
        <v>1.0</v>
      </c>
      <c r="H236" s="43">
        <v>8.0</v>
      </c>
      <c r="I236" s="43">
        <v>0.0</v>
      </c>
      <c r="J236" s="43">
        <v>6.0</v>
      </c>
      <c r="K236" s="43">
        <v>1.0</v>
      </c>
      <c r="L236" s="43">
        <v>0.0</v>
      </c>
      <c r="M236" s="43">
        <v>33721.0</v>
      </c>
    </row>
    <row r="237" ht="15.75" customHeight="1">
      <c r="A237" s="13" t="s">
        <v>1914</v>
      </c>
      <c r="B237" s="43">
        <v>45.0</v>
      </c>
      <c r="C237" s="43">
        <v>29191.0</v>
      </c>
      <c r="D237" s="43">
        <v>7.0</v>
      </c>
      <c r="E237" s="43">
        <v>7.0</v>
      </c>
      <c r="F237" s="43">
        <v>7.0</v>
      </c>
      <c r="G237" s="43">
        <v>0.0</v>
      </c>
      <c r="H237" s="43">
        <v>7.0</v>
      </c>
      <c r="I237" s="43">
        <v>0.0</v>
      </c>
      <c r="J237" s="43">
        <v>7.0</v>
      </c>
      <c r="K237" s="43">
        <v>0.0</v>
      </c>
      <c r="L237" s="43">
        <v>0.0</v>
      </c>
      <c r="M237" s="13" t="s">
        <v>344</v>
      </c>
    </row>
    <row r="238" ht="15.75" customHeight="1">
      <c r="A238" s="13" t="s">
        <v>1909</v>
      </c>
      <c r="B238" s="43">
        <v>48.0</v>
      </c>
      <c r="C238" s="43">
        <v>28322.0</v>
      </c>
      <c r="D238" s="43">
        <v>7.0</v>
      </c>
      <c r="E238" s="43">
        <v>7.0</v>
      </c>
      <c r="F238" s="43">
        <v>7.0</v>
      </c>
      <c r="G238" s="43">
        <v>1.0</v>
      </c>
      <c r="H238" s="43">
        <v>5.0</v>
      </c>
      <c r="I238" s="43">
        <v>1.0</v>
      </c>
      <c r="J238" s="43">
        <v>4.0</v>
      </c>
      <c r="K238" s="43">
        <v>2.0</v>
      </c>
      <c r="L238" s="43">
        <v>0.0</v>
      </c>
      <c r="M238" s="43">
        <v>28322.0</v>
      </c>
    </row>
    <row r="239" ht="15.75" customHeight="1">
      <c r="A239" s="13" t="s">
        <v>1910</v>
      </c>
      <c r="B239" s="43">
        <v>42.0</v>
      </c>
      <c r="C239" s="43">
        <v>26099.0</v>
      </c>
      <c r="D239" s="43">
        <v>7.0</v>
      </c>
      <c r="E239" s="43">
        <v>7.0</v>
      </c>
      <c r="F239" s="43">
        <v>8.0</v>
      </c>
      <c r="G239" s="43">
        <v>1.0</v>
      </c>
      <c r="H239" s="43">
        <v>7.0</v>
      </c>
      <c r="I239" s="43">
        <v>0.0</v>
      </c>
      <c r="J239" s="43">
        <v>7.0</v>
      </c>
      <c r="K239" s="43">
        <v>1.0</v>
      </c>
      <c r="L239" s="43">
        <v>0.0</v>
      </c>
      <c r="M239" s="43">
        <v>26099.0</v>
      </c>
    </row>
    <row r="240" ht="15.75" customHeight="1">
      <c r="A240" s="13" t="s">
        <v>1912</v>
      </c>
      <c r="B240" s="43">
        <v>43.0</v>
      </c>
      <c r="C240" s="43">
        <v>25500.0</v>
      </c>
      <c r="D240" s="43">
        <v>7.0</v>
      </c>
      <c r="E240" s="43">
        <v>7.0</v>
      </c>
      <c r="F240" s="43">
        <v>7.0</v>
      </c>
      <c r="G240" s="43">
        <v>0.0</v>
      </c>
      <c r="H240" s="43">
        <v>7.0</v>
      </c>
      <c r="I240" s="43">
        <v>0.0</v>
      </c>
      <c r="J240" s="43">
        <v>7.0</v>
      </c>
      <c r="K240" s="43">
        <v>1.0</v>
      </c>
      <c r="L240" s="43">
        <v>0.0</v>
      </c>
      <c r="M240" s="13" t="s">
        <v>344</v>
      </c>
    </row>
    <row r="241" ht="15.75" customHeight="1">
      <c r="A241" s="13" t="s">
        <v>1916</v>
      </c>
      <c r="B241" s="43">
        <v>41.0</v>
      </c>
      <c r="C241" s="43">
        <v>19262.0</v>
      </c>
      <c r="D241" s="43">
        <v>12.0</v>
      </c>
      <c r="E241" s="43">
        <v>12.0</v>
      </c>
      <c r="F241" s="43">
        <v>12.0</v>
      </c>
      <c r="G241" s="43">
        <v>1.0</v>
      </c>
      <c r="H241" s="43">
        <v>11.0</v>
      </c>
      <c r="I241" s="43">
        <v>0.0</v>
      </c>
      <c r="J241" s="43">
        <v>12.0</v>
      </c>
      <c r="K241" s="43">
        <v>0.0</v>
      </c>
      <c r="L241" s="43">
        <v>0.0</v>
      </c>
      <c r="M241" s="43">
        <v>19262.0</v>
      </c>
    </row>
    <row r="242" ht="15.75" customHeight="1">
      <c r="A242" s="13" t="s">
        <v>1915</v>
      </c>
      <c r="B242" s="43">
        <v>44.0</v>
      </c>
      <c r="C242" s="43">
        <v>16181.0</v>
      </c>
      <c r="D242" s="43">
        <v>7.0</v>
      </c>
      <c r="E242" s="43">
        <v>7.0</v>
      </c>
      <c r="F242" s="43">
        <v>8.0</v>
      </c>
      <c r="G242" s="43">
        <v>1.0</v>
      </c>
      <c r="H242" s="43">
        <v>5.0</v>
      </c>
      <c r="I242" s="43">
        <v>2.0</v>
      </c>
      <c r="J242" s="43">
        <v>7.0</v>
      </c>
      <c r="K242" s="43">
        <v>0.0</v>
      </c>
      <c r="L242" s="43">
        <v>0.0</v>
      </c>
      <c r="M242" s="43">
        <v>16181.0</v>
      </c>
    </row>
    <row r="243" ht="15.75" customHeight="1">
      <c r="A243" s="13" t="s">
        <v>1917</v>
      </c>
      <c r="B243" s="13" t="s">
        <v>2248</v>
      </c>
      <c r="C243" s="43">
        <v>214703.0</v>
      </c>
      <c r="D243" s="43">
        <v>63.0</v>
      </c>
      <c r="E243" s="43">
        <v>63.0</v>
      </c>
      <c r="F243" s="43">
        <v>66.0</v>
      </c>
      <c r="G243" s="43">
        <v>6.0</v>
      </c>
      <c r="H243" s="43">
        <v>57.0</v>
      </c>
      <c r="I243" s="43">
        <v>3.0</v>
      </c>
      <c r="J243" s="43">
        <v>57.0</v>
      </c>
      <c r="K243" s="43">
        <v>6.0</v>
      </c>
      <c r="L243" s="43">
        <v>0.0</v>
      </c>
      <c r="M243" s="43">
        <v>35784.0</v>
      </c>
    </row>
    <row r="244" ht="15.75" customHeight="1">
      <c r="A244" s="42" t="s">
        <v>980</v>
      </c>
    </row>
    <row r="245" ht="15.75" customHeight="1"/>
    <row r="246" ht="15.75" customHeight="1"/>
    <row r="247" ht="15.75" customHeight="1">
      <c r="A247" s="25" t="s">
        <v>2257</v>
      </c>
      <c r="B247" s="26"/>
      <c r="C247" s="26"/>
      <c r="D247" s="26"/>
    </row>
    <row r="248" ht="15.75" customHeight="1">
      <c r="A248" s="27" t="s">
        <v>2260</v>
      </c>
      <c r="B248" s="26"/>
      <c r="C248" s="26"/>
      <c r="D248" s="26"/>
    </row>
    <row r="249" ht="15.75" customHeight="1">
      <c r="A249" s="41" t="s">
        <v>1434</v>
      </c>
      <c r="B249" s="41" t="s">
        <v>2266</v>
      </c>
      <c r="C249" s="41" t="s">
        <v>2269</v>
      </c>
      <c r="D249" s="41" t="s">
        <v>2271</v>
      </c>
    </row>
    <row r="250" ht="15.75" customHeight="1">
      <c r="A250" s="13" t="s">
        <v>2273</v>
      </c>
      <c r="B250" s="13" t="s">
        <v>2275</v>
      </c>
      <c r="C250" s="13" t="s">
        <v>2277</v>
      </c>
      <c r="D250" s="13" t="s">
        <v>2279</v>
      </c>
    </row>
    <row r="251" ht="15.75" customHeight="1">
      <c r="A251" s="13" t="s">
        <v>893</v>
      </c>
      <c r="B251" s="13" t="s">
        <v>2283</v>
      </c>
      <c r="C251" s="13" t="s">
        <v>2285</v>
      </c>
      <c r="D251" s="13" t="s">
        <v>2287</v>
      </c>
    </row>
    <row r="252" ht="15.75" customHeight="1">
      <c r="A252" s="13" t="s">
        <v>475</v>
      </c>
      <c r="B252" s="43">
        <v>57.0</v>
      </c>
      <c r="C252" s="43">
        <v>57.0</v>
      </c>
      <c r="D252" s="13" t="s">
        <v>2293</v>
      </c>
    </row>
    <row r="253" ht="15.75" customHeight="1">
      <c r="A253" s="13" t="s">
        <v>2295</v>
      </c>
      <c r="B253" s="13" t="s">
        <v>2298</v>
      </c>
      <c r="C253" s="13" t="s">
        <v>2299</v>
      </c>
      <c r="D253" s="13" t="s">
        <v>2301</v>
      </c>
    </row>
    <row r="254" ht="15.75" customHeight="1">
      <c r="A254" s="13" t="s">
        <v>2303</v>
      </c>
      <c r="B254" s="13" t="s">
        <v>2304</v>
      </c>
      <c r="C254" s="13" t="s">
        <v>2305</v>
      </c>
      <c r="D254" s="13" t="s">
        <v>2307</v>
      </c>
    </row>
    <row r="255" ht="15.75" customHeight="1">
      <c r="A255" s="13" t="s">
        <v>2308</v>
      </c>
      <c r="B255" s="43">
        <v>0.0</v>
      </c>
      <c r="C255" s="43">
        <v>0.0</v>
      </c>
      <c r="D255" s="13" t="s">
        <v>2311</v>
      </c>
    </row>
    <row r="256" ht="15.75" customHeight="1">
      <c r="A256" s="13" t="s">
        <v>2314</v>
      </c>
      <c r="B256" s="13" t="s">
        <v>2315</v>
      </c>
      <c r="C256" s="13" t="s">
        <v>2317</v>
      </c>
      <c r="D256" s="13" t="s">
        <v>2318</v>
      </c>
    </row>
    <row r="257" ht="15.75" customHeight="1">
      <c r="A257" s="13" t="s">
        <v>1098</v>
      </c>
      <c r="B257" s="13" t="s">
        <v>2319</v>
      </c>
      <c r="C257" s="13" t="s">
        <v>2320</v>
      </c>
      <c r="D257" s="13" t="s">
        <v>2321</v>
      </c>
    </row>
    <row r="258" ht="15.75" customHeight="1">
      <c r="A258" s="13" t="s">
        <v>2322</v>
      </c>
      <c r="B258" s="13" t="s">
        <v>2325</v>
      </c>
      <c r="C258" s="13" t="s">
        <v>2328</v>
      </c>
      <c r="D258" s="13" t="s">
        <v>2330</v>
      </c>
    </row>
    <row r="259" ht="15.75" customHeight="1">
      <c r="A259" s="42" t="s">
        <v>989</v>
      </c>
    </row>
    <row r="260" ht="15.75" customHeight="1"/>
    <row r="261" ht="15.75" customHeight="1"/>
    <row r="262" ht="15.75" customHeight="1">
      <c r="A262" s="25" t="s">
        <v>2334</v>
      </c>
      <c r="B262" s="26"/>
      <c r="C262" s="26"/>
      <c r="D262" s="26"/>
      <c r="E262" s="26"/>
    </row>
    <row r="263" ht="15.75" customHeight="1">
      <c r="A263" s="27" t="s">
        <v>2340</v>
      </c>
      <c r="B263" s="26"/>
      <c r="C263" s="26"/>
      <c r="D263" s="26"/>
      <c r="E263" s="26"/>
    </row>
    <row r="264" ht="15.75" customHeight="1">
      <c r="A264" s="41" t="s">
        <v>1257</v>
      </c>
      <c r="B264" s="41" t="s">
        <v>2346</v>
      </c>
      <c r="C264" s="41" t="s">
        <v>2348</v>
      </c>
      <c r="D264" s="41" t="s">
        <v>1101</v>
      </c>
      <c r="E264" s="41" t="s">
        <v>2206</v>
      </c>
    </row>
    <row r="265" ht="15.75" customHeight="1">
      <c r="A265" s="13" t="s">
        <v>2352</v>
      </c>
      <c r="B265" s="43">
        <v>0.0</v>
      </c>
      <c r="C265" s="43">
        <v>0.0</v>
      </c>
      <c r="D265" s="43">
        <v>0.0</v>
      </c>
      <c r="E265" s="43">
        <v>0.0</v>
      </c>
    </row>
    <row r="266" ht="15.75" customHeight="1">
      <c r="A266" s="13" t="s">
        <v>1170</v>
      </c>
      <c r="B266" s="43">
        <v>0.0</v>
      </c>
      <c r="C266" s="43">
        <v>0.0</v>
      </c>
      <c r="D266" s="43">
        <v>0.0</v>
      </c>
      <c r="E266" s="43">
        <v>0.0</v>
      </c>
    </row>
    <row r="267" ht="15.75" customHeight="1">
      <c r="A267" s="13" t="s">
        <v>1276</v>
      </c>
      <c r="B267" s="13" t="s">
        <v>2358</v>
      </c>
      <c r="C267" s="43">
        <v>0.0</v>
      </c>
      <c r="D267" s="43">
        <v>4.0</v>
      </c>
      <c r="E267" s="43">
        <v>0.0</v>
      </c>
    </row>
    <row r="268" ht="15.75" customHeight="1">
      <c r="A268" s="13" t="s">
        <v>1419</v>
      </c>
      <c r="B268" s="43">
        <v>9.0</v>
      </c>
      <c r="C268" s="43">
        <v>6.0</v>
      </c>
      <c r="D268" s="43">
        <v>0.0</v>
      </c>
      <c r="E268" s="43">
        <v>0.0</v>
      </c>
    </row>
    <row r="269" ht="15.75" customHeight="1">
      <c r="A269" s="13" t="s">
        <v>2141</v>
      </c>
      <c r="B269" s="43">
        <v>57.0</v>
      </c>
      <c r="C269" s="43">
        <v>57.0</v>
      </c>
      <c r="D269" s="43">
        <v>0.0</v>
      </c>
      <c r="E269" s="43">
        <v>0.0</v>
      </c>
    </row>
    <row r="270" ht="15.75" customHeight="1">
      <c r="A270" s="13" t="s">
        <v>2365</v>
      </c>
      <c r="B270" s="13" t="s">
        <v>2366</v>
      </c>
      <c r="C270" s="43">
        <v>3.0</v>
      </c>
      <c r="D270" s="43">
        <v>0.0</v>
      </c>
      <c r="E270" s="43">
        <v>0.0</v>
      </c>
    </row>
    <row r="271" ht="15.75" customHeight="1">
      <c r="A271" s="13" t="s">
        <v>2367</v>
      </c>
      <c r="B271" s="43">
        <v>0.0</v>
      </c>
      <c r="C271" s="43">
        <v>0.0</v>
      </c>
      <c r="D271" s="13" t="s">
        <v>344</v>
      </c>
      <c r="E271" s="43">
        <v>0.0</v>
      </c>
    </row>
    <row r="272" ht="15.75" customHeight="1">
      <c r="A272" s="13" t="s">
        <v>1134</v>
      </c>
      <c r="B272" s="43">
        <v>68.0</v>
      </c>
      <c r="C272" s="43">
        <v>66.0</v>
      </c>
      <c r="D272" s="43">
        <v>4.0</v>
      </c>
      <c r="E272" s="43">
        <v>0.0</v>
      </c>
    </row>
    <row r="273" ht="15.75" customHeight="1">
      <c r="A273" s="42" t="s">
        <v>993</v>
      </c>
    </row>
    <row r="274" ht="15.75" customHeight="1"/>
    <row r="275" ht="15.75" customHeight="1"/>
    <row r="276" ht="15.75" customHeight="1">
      <c r="A276" s="25" t="s">
        <v>2370</v>
      </c>
      <c r="B276" s="26"/>
      <c r="C276" s="26"/>
      <c r="D276" s="26"/>
      <c r="E276" s="26"/>
    </row>
    <row r="277" ht="15.75" customHeight="1">
      <c r="A277" s="27" t="s">
        <v>2087</v>
      </c>
      <c r="B277" s="26"/>
      <c r="C277" s="26"/>
      <c r="D277" s="26"/>
      <c r="E277" s="26"/>
    </row>
    <row r="278" ht="15.75" customHeight="1">
      <c r="A278" s="41" t="s">
        <v>1099</v>
      </c>
      <c r="B278" s="41" t="s">
        <v>464</v>
      </c>
      <c r="C278" s="41" t="s">
        <v>2374</v>
      </c>
      <c r="D278" s="41" t="s">
        <v>2375</v>
      </c>
      <c r="E278" s="41" t="s">
        <v>2376</v>
      </c>
    </row>
    <row r="279" ht="15.75" customHeight="1">
      <c r="A279" s="13" t="s">
        <v>1911</v>
      </c>
      <c r="B279" s="43">
        <v>36427.0</v>
      </c>
      <c r="C279" s="43">
        <v>18214.0</v>
      </c>
      <c r="D279" s="43">
        <v>36427.0</v>
      </c>
      <c r="E279" s="13" t="s">
        <v>2377</v>
      </c>
    </row>
    <row r="280" ht="15.75" customHeight="1">
      <c r="A280" s="13" t="s">
        <v>1913</v>
      </c>
      <c r="B280" s="43">
        <v>33721.0</v>
      </c>
      <c r="C280" s="43">
        <v>33721.0</v>
      </c>
      <c r="D280" s="43">
        <v>33721.0</v>
      </c>
      <c r="E280" s="13" t="s">
        <v>2379</v>
      </c>
    </row>
    <row r="281" ht="15.75" customHeight="1">
      <c r="A281" s="13" t="s">
        <v>1914</v>
      </c>
      <c r="B281" s="43">
        <v>29191.0</v>
      </c>
      <c r="C281" s="43">
        <v>29191.0</v>
      </c>
      <c r="D281" s="13" t="s">
        <v>2381</v>
      </c>
      <c r="E281" s="13" t="s">
        <v>2382</v>
      </c>
    </row>
    <row r="282" ht="15.75" customHeight="1">
      <c r="A282" s="13" t="s">
        <v>1909</v>
      </c>
      <c r="B282" s="43">
        <v>28322.0</v>
      </c>
      <c r="C282" s="43">
        <v>28322.0</v>
      </c>
      <c r="D282" s="43">
        <v>28322.0</v>
      </c>
      <c r="E282" s="13" t="s">
        <v>2379</v>
      </c>
    </row>
    <row r="283" ht="15.75" customHeight="1">
      <c r="A283" s="13" t="s">
        <v>1910</v>
      </c>
      <c r="B283" s="43">
        <v>26099.0</v>
      </c>
      <c r="C283" s="43">
        <v>26099.0</v>
      </c>
      <c r="D283" s="43">
        <v>26099.0</v>
      </c>
      <c r="E283" s="13" t="s">
        <v>2379</v>
      </c>
    </row>
    <row r="284" ht="15.75" customHeight="1">
      <c r="A284" s="13" t="s">
        <v>1912</v>
      </c>
      <c r="B284" s="43">
        <v>25500.0</v>
      </c>
      <c r="C284" s="43">
        <v>25500.0</v>
      </c>
      <c r="D284" s="13" t="s">
        <v>2381</v>
      </c>
      <c r="E284" s="13" t="s">
        <v>2382</v>
      </c>
    </row>
    <row r="285" ht="15.75" customHeight="1">
      <c r="A285" s="13" t="s">
        <v>1916</v>
      </c>
      <c r="B285" s="43">
        <v>19262.0</v>
      </c>
      <c r="C285" s="43">
        <v>19262.0</v>
      </c>
      <c r="D285" s="43">
        <v>19262.0</v>
      </c>
      <c r="E285" s="13" t="s">
        <v>2388</v>
      </c>
    </row>
    <row r="286" ht="15.75" customHeight="1">
      <c r="A286" s="13" t="s">
        <v>1915</v>
      </c>
      <c r="B286" s="43">
        <v>16181.0</v>
      </c>
      <c r="C286" s="43">
        <v>16181.0</v>
      </c>
      <c r="D286" s="43">
        <v>16181.0</v>
      </c>
      <c r="E286" s="13" t="s">
        <v>2388</v>
      </c>
    </row>
    <row r="287" ht="15.75" customHeight="1">
      <c r="A287" s="13" t="s">
        <v>1917</v>
      </c>
      <c r="B287" s="43">
        <v>214703.0</v>
      </c>
      <c r="C287" s="43">
        <v>23856.0</v>
      </c>
      <c r="D287" s="43">
        <v>35784.0</v>
      </c>
      <c r="E287" s="13" t="s">
        <v>2392</v>
      </c>
    </row>
    <row r="288" ht="15.75" customHeight="1">
      <c r="A288" s="42" t="s">
        <v>996</v>
      </c>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6" width="26.0"/>
    <col customWidth="1" min="7" max="26" width="8.71"/>
  </cols>
  <sheetData>
    <row r="1">
      <c r="A1" s="12" t="s">
        <v>1897</v>
      </c>
    </row>
    <row r="2">
      <c r="A2" s="24" t="s">
        <v>1898</v>
      </c>
    </row>
    <row r="4">
      <c r="A4" s="25" t="s">
        <v>1107</v>
      </c>
      <c r="B4" s="26"/>
      <c r="C4" s="26"/>
      <c r="D4" s="26"/>
      <c r="E4" s="26"/>
      <c r="F4" s="26"/>
    </row>
    <row r="5">
      <c r="A5" s="27" t="s">
        <v>1114</v>
      </c>
      <c r="B5" s="26"/>
      <c r="C5" s="26"/>
      <c r="D5" s="26"/>
      <c r="E5" s="26"/>
      <c r="F5" s="26"/>
    </row>
    <row r="6">
      <c r="A6" s="41" t="s">
        <v>547</v>
      </c>
      <c r="B6" s="41" t="s">
        <v>1118</v>
      </c>
      <c r="C6" s="41" t="s">
        <v>1120</v>
      </c>
      <c r="D6" s="41" t="s">
        <v>1121</v>
      </c>
      <c r="E6" s="41" t="s">
        <v>1122</v>
      </c>
      <c r="F6" s="41" t="s">
        <v>575</v>
      </c>
    </row>
    <row r="7">
      <c r="A7" s="13" t="s">
        <v>526</v>
      </c>
      <c r="B7" s="43">
        <v>407.0</v>
      </c>
      <c r="C7" s="43">
        <v>67.0</v>
      </c>
      <c r="D7" s="43">
        <v>242.0</v>
      </c>
      <c r="E7" s="43">
        <v>98.0</v>
      </c>
      <c r="F7" s="13" t="s">
        <v>1132</v>
      </c>
    </row>
    <row r="8">
      <c r="A8" s="13" t="s">
        <v>622</v>
      </c>
      <c r="B8" s="43">
        <v>300.0</v>
      </c>
      <c r="C8" s="43">
        <v>25.0</v>
      </c>
      <c r="D8" s="43">
        <v>54.0</v>
      </c>
      <c r="E8" s="43">
        <v>221.0</v>
      </c>
      <c r="F8" s="13" t="s">
        <v>1142</v>
      </c>
    </row>
    <row r="9">
      <c r="A9" s="13" t="s">
        <v>644</v>
      </c>
      <c r="B9" s="13" t="s">
        <v>1902</v>
      </c>
      <c r="C9" s="43">
        <v>17.0</v>
      </c>
      <c r="D9" s="43">
        <v>18.0</v>
      </c>
      <c r="E9" s="43">
        <v>28.0</v>
      </c>
      <c r="F9" s="13" t="s">
        <v>1144</v>
      </c>
    </row>
    <row r="10">
      <c r="A10" s="13" t="s">
        <v>668</v>
      </c>
      <c r="B10" s="43">
        <v>66.0</v>
      </c>
      <c r="C10" s="43">
        <v>6.0</v>
      </c>
      <c r="D10" s="43">
        <v>54.0</v>
      </c>
      <c r="E10" s="43">
        <v>6.0</v>
      </c>
      <c r="F10" s="13" t="s">
        <v>1149</v>
      </c>
    </row>
    <row r="11">
      <c r="A11" s="13" t="s">
        <v>696</v>
      </c>
      <c r="B11" s="43">
        <v>836.0</v>
      </c>
      <c r="C11" s="43">
        <v>115.0</v>
      </c>
      <c r="D11" s="43">
        <v>368.0</v>
      </c>
      <c r="E11" s="43">
        <v>353.0</v>
      </c>
      <c r="F11" s="13" t="s">
        <v>1161</v>
      </c>
    </row>
    <row r="14">
      <c r="A14" s="25" t="s">
        <v>1904</v>
      </c>
      <c r="B14" s="26"/>
      <c r="C14" s="26"/>
      <c r="D14" s="26"/>
      <c r="E14" s="26"/>
    </row>
    <row r="15">
      <c r="A15" s="27" t="s">
        <v>1905</v>
      </c>
      <c r="B15" s="26"/>
      <c r="C15" s="26"/>
      <c r="D15" s="26"/>
      <c r="E15" s="26"/>
    </row>
    <row r="16">
      <c r="A16" s="41" t="s">
        <v>1099</v>
      </c>
      <c r="B16" s="41" t="s">
        <v>1120</v>
      </c>
      <c r="C16" s="41" t="s">
        <v>1907</v>
      </c>
      <c r="D16" s="41" t="s">
        <v>1908</v>
      </c>
      <c r="E16" s="41" t="s">
        <v>1258</v>
      </c>
    </row>
    <row r="17">
      <c r="A17" s="13" t="s">
        <v>1909</v>
      </c>
      <c r="B17" s="43">
        <v>2.0</v>
      </c>
      <c r="C17" s="43">
        <v>5.0</v>
      </c>
      <c r="D17" s="43">
        <v>0.0</v>
      </c>
      <c r="E17" s="43">
        <v>7.0</v>
      </c>
    </row>
    <row r="18">
      <c r="A18" s="13" t="s">
        <v>1910</v>
      </c>
      <c r="B18" s="43">
        <v>1.0</v>
      </c>
      <c r="C18" s="43">
        <v>7.0</v>
      </c>
      <c r="D18" s="43">
        <v>0.0</v>
      </c>
      <c r="E18" s="43">
        <v>8.0</v>
      </c>
    </row>
    <row r="19">
      <c r="A19" s="13" t="s">
        <v>1911</v>
      </c>
      <c r="B19" s="43">
        <v>1.0</v>
      </c>
      <c r="C19" s="43">
        <v>7.0</v>
      </c>
      <c r="D19" s="43">
        <v>0.0</v>
      </c>
      <c r="E19" s="43">
        <v>8.0</v>
      </c>
    </row>
    <row r="20">
      <c r="A20" s="13" t="s">
        <v>1912</v>
      </c>
      <c r="B20" s="43">
        <v>1.0</v>
      </c>
      <c r="C20" s="43">
        <v>0.0</v>
      </c>
      <c r="D20" s="43">
        <v>6.0</v>
      </c>
      <c r="E20" s="43">
        <v>7.0</v>
      </c>
    </row>
    <row r="21" ht="15.75" customHeight="1">
      <c r="A21" s="13" t="s">
        <v>1913</v>
      </c>
      <c r="B21" s="43">
        <v>1.0</v>
      </c>
      <c r="C21" s="43">
        <v>8.0</v>
      </c>
      <c r="D21" s="43">
        <v>0.0</v>
      </c>
      <c r="E21" s="43">
        <v>9.0</v>
      </c>
    </row>
    <row r="22" ht="15.75" customHeight="1">
      <c r="A22" s="13" t="s">
        <v>1914</v>
      </c>
      <c r="B22" s="43">
        <v>0.0</v>
      </c>
      <c r="C22" s="43">
        <v>7.0</v>
      </c>
      <c r="D22" s="43">
        <v>0.0</v>
      </c>
      <c r="E22" s="43">
        <v>7.0</v>
      </c>
    </row>
    <row r="23" ht="15.75" customHeight="1">
      <c r="A23" s="13" t="s">
        <v>1915</v>
      </c>
      <c r="B23" s="43">
        <v>0.0</v>
      </c>
      <c r="C23" s="43">
        <v>8.0</v>
      </c>
      <c r="D23" s="43">
        <v>0.0</v>
      </c>
      <c r="E23" s="43">
        <v>8.0</v>
      </c>
    </row>
    <row r="24" ht="15.75" customHeight="1">
      <c r="A24" s="13" t="s">
        <v>1916</v>
      </c>
      <c r="B24" s="43">
        <v>0.0</v>
      </c>
      <c r="C24" s="43">
        <v>12.0</v>
      </c>
      <c r="D24" s="43">
        <v>0.0</v>
      </c>
      <c r="E24" s="43">
        <v>12.0</v>
      </c>
    </row>
    <row r="25" ht="15.75" customHeight="1">
      <c r="A25" s="13" t="s">
        <v>1917</v>
      </c>
      <c r="B25" s="43">
        <v>6.0</v>
      </c>
      <c r="C25" s="43">
        <v>54.0</v>
      </c>
      <c r="D25" s="43">
        <v>6.0</v>
      </c>
      <c r="E25" s="43">
        <v>66.0</v>
      </c>
    </row>
    <row r="26" ht="15.75" customHeight="1">
      <c r="A26" s="42" t="s">
        <v>999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10" width="26.0"/>
    <col customWidth="1" min="11" max="26" width="8.71"/>
  </cols>
  <sheetData>
    <row r="1">
      <c r="A1" s="12" t="s">
        <v>1923</v>
      </c>
    </row>
    <row r="2">
      <c r="A2" s="24" t="s">
        <v>1924</v>
      </c>
    </row>
    <row r="4">
      <c r="A4" s="25" t="s">
        <v>845</v>
      </c>
      <c r="B4" s="26"/>
      <c r="C4" s="26"/>
      <c r="D4" s="26"/>
      <c r="E4" s="26"/>
      <c r="F4" s="26"/>
      <c r="G4" s="26"/>
      <c r="H4" s="26"/>
      <c r="I4" s="26"/>
      <c r="J4" s="26"/>
    </row>
    <row r="5">
      <c r="A5" s="27" t="s">
        <v>853</v>
      </c>
      <c r="B5" s="26"/>
      <c r="C5" s="26"/>
      <c r="D5" s="26"/>
      <c r="E5" s="26"/>
      <c r="F5" s="26"/>
      <c r="G5" s="26"/>
      <c r="H5" s="26"/>
      <c r="I5" s="26"/>
      <c r="J5" s="26"/>
    </row>
    <row r="6">
      <c r="A6" s="41" t="s">
        <v>858</v>
      </c>
      <c r="B6" s="41" t="s">
        <v>128</v>
      </c>
      <c r="C6" s="41" t="s">
        <v>158</v>
      </c>
      <c r="D6" s="41" t="s">
        <v>184</v>
      </c>
      <c r="E6" s="41" t="s">
        <v>212</v>
      </c>
      <c r="F6" s="41" t="s">
        <v>861</v>
      </c>
      <c r="G6" s="41" t="s">
        <v>862</v>
      </c>
      <c r="H6" s="41" t="s">
        <v>863</v>
      </c>
      <c r="I6" s="41" t="s">
        <v>864</v>
      </c>
      <c r="J6" s="41" t="s">
        <v>34</v>
      </c>
    </row>
    <row r="7">
      <c r="A7" s="13" t="s">
        <v>477</v>
      </c>
      <c r="B7" s="43">
        <v>14.0</v>
      </c>
      <c r="C7" s="43">
        <v>7.0</v>
      </c>
      <c r="D7" s="43">
        <v>11.0</v>
      </c>
      <c r="E7" s="43">
        <v>0.0</v>
      </c>
      <c r="F7" s="43">
        <v>7.0</v>
      </c>
      <c r="G7" s="43">
        <v>8.0</v>
      </c>
      <c r="H7" s="43">
        <v>5.0</v>
      </c>
      <c r="I7" s="43">
        <v>6.0</v>
      </c>
      <c r="J7" s="43">
        <v>58.0</v>
      </c>
    </row>
    <row r="8">
      <c r="A8" s="13" t="s">
        <v>876</v>
      </c>
      <c r="B8" s="43">
        <v>1.0</v>
      </c>
      <c r="C8" s="43">
        <v>0.0</v>
      </c>
      <c r="D8" s="43">
        <v>0.0</v>
      </c>
      <c r="E8" s="43">
        <v>0.0</v>
      </c>
      <c r="F8" s="43">
        <v>0.0</v>
      </c>
      <c r="G8" s="43">
        <v>0.0</v>
      </c>
      <c r="H8" s="43">
        <v>0.0</v>
      </c>
      <c r="I8" s="43">
        <v>1.0</v>
      </c>
      <c r="J8" s="43">
        <v>2.0</v>
      </c>
    </row>
    <row r="9">
      <c r="A9" s="13" t="s">
        <v>881</v>
      </c>
      <c r="B9" s="43">
        <v>0.0</v>
      </c>
      <c r="C9" s="43">
        <v>0.0</v>
      </c>
      <c r="D9" s="43">
        <v>1.0</v>
      </c>
      <c r="E9" s="43">
        <v>0.0</v>
      </c>
      <c r="F9" s="43">
        <v>0.0</v>
      </c>
      <c r="G9" s="43">
        <v>0.0</v>
      </c>
      <c r="H9" s="43">
        <v>0.0</v>
      </c>
      <c r="I9" s="43">
        <v>1.0</v>
      </c>
      <c r="J9" s="43">
        <v>2.0</v>
      </c>
    </row>
    <row r="10">
      <c r="A10" s="13" t="s">
        <v>886</v>
      </c>
      <c r="B10" s="43">
        <v>8.0</v>
      </c>
      <c r="C10" s="43">
        <v>5.0</v>
      </c>
      <c r="D10" s="43">
        <v>3.0</v>
      </c>
      <c r="E10" s="43">
        <v>0.0</v>
      </c>
      <c r="F10" s="43">
        <v>5.0</v>
      </c>
      <c r="G10" s="43">
        <v>5.0</v>
      </c>
      <c r="H10" s="43">
        <v>1.0</v>
      </c>
      <c r="I10" s="43">
        <v>3.0</v>
      </c>
      <c r="J10" s="43">
        <v>30.0</v>
      </c>
    </row>
    <row r="11">
      <c r="A11" s="13" t="s">
        <v>889</v>
      </c>
      <c r="B11" s="43">
        <v>5.0</v>
      </c>
      <c r="C11" s="43">
        <v>2.0</v>
      </c>
      <c r="D11" s="43">
        <v>7.0</v>
      </c>
      <c r="E11" s="43">
        <v>0.0</v>
      </c>
      <c r="F11" s="43">
        <v>2.0</v>
      </c>
      <c r="G11" s="43">
        <v>3.0</v>
      </c>
      <c r="H11" s="43">
        <v>4.0</v>
      </c>
      <c r="I11" s="43">
        <v>1.0</v>
      </c>
      <c r="J11" s="43">
        <v>24.0</v>
      </c>
    </row>
    <row r="12">
      <c r="A12" s="13" t="s">
        <v>893</v>
      </c>
      <c r="B12" s="43">
        <v>28.0</v>
      </c>
      <c r="C12" s="43">
        <v>13.0</v>
      </c>
      <c r="D12" s="43">
        <v>23.0</v>
      </c>
      <c r="E12" s="43">
        <v>0.0</v>
      </c>
      <c r="F12" s="43">
        <v>7.0</v>
      </c>
      <c r="G12" s="43">
        <v>7.0</v>
      </c>
      <c r="H12" s="43">
        <v>3.0</v>
      </c>
      <c r="I12" s="43">
        <v>1.0</v>
      </c>
      <c r="J12" s="43">
        <v>82.0</v>
      </c>
    </row>
    <row r="13">
      <c r="A13" s="13" t="s">
        <v>897</v>
      </c>
      <c r="B13" s="43">
        <v>13.0</v>
      </c>
      <c r="C13" s="43">
        <v>11.0</v>
      </c>
      <c r="D13" s="43">
        <v>19.0</v>
      </c>
      <c r="E13" s="43">
        <v>0.0</v>
      </c>
      <c r="F13" s="43">
        <v>5.0</v>
      </c>
      <c r="G13" s="43">
        <v>6.0</v>
      </c>
      <c r="H13" s="43">
        <v>2.0</v>
      </c>
      <c r="I13" s="43">
        <v>1.0</v>
      </c>
      <c r="J13" s="43">
        <v>57.0</v>
      </c>
    </row>
    <row r="14">
      <c r="A14" s="13" t="s">
        <v>900</v>
      </c>
      <c r="B14" s="43">
        <v>33.0</v>
      </c>
      <c r="C14" s="43">
        <v>19.0</v>
      </c>
      <c r="D14" s="43">
        <v>28.0</v>
      </c>
      <c r="E14" s="43">
        <v>0.0</v>
      </c>
      <c r="F14" s="43">
        <v>20.0</v>
      </c>
      <c r="G14" s="43">
        <v>11.0</v>
      </c>
      <c r="H14" s="43">
        <v>2.0</v>
      </c>
      <c r="I14" s="43">
        <v>2.0</v>
      </c>
      <c r="J14" s="43">
        <v>115.0</v>
      </c>
    </row>
    <row r="15">
      <c r="A15" s="13" t="s">
        <v>905</v>
      </c>
      <c r="B15" s="43">
        <v>4.0</v>
      </c>
      <c r="C15" s="43">
        <v>9.0</v>
      </c>
      <c r="D15" s="43">
        <v>26.0</v>
      </c>
      <c r="E15" s="43">
        <v>0.0</v>
      </c>
      <c r="F15" s="43">
        <v>5.0</v>
      </c>
      <c r="G15" s="43">
        <v>0.0</v>
      </c>
      <c r="H15" s="43">
        <v>2.0</v>
      </c>
      <c r="I15" s="43">
        <v>5.0</v>
      </c>
      <c r="J15" s="43">
        <v>51.0</v>
      </c>
    </row>
    <row r="16">
      <c r="A16" s="13" t="s">
        <v>909</v>
      </c>
      <c r="B16" s="43">
        <v>3.0</v>
      </c>
      <c r="C16" s="43">
        <v>0.0</v>
      </c>
      <c r="D16" s="43">
        <v>1.0</v>
      </c>
      <c r="E16" s="43">
        <v>0.0</v>
      </c>
      <c r="F16" s="43">
        <v>1.0</v>
      </c>
      <c r="G16" s="43">
        <v>0.0</v>
      </c>
      <c r="H16" s="43">
        <v>0.0</v>
      </c>
      <c r="I16" s="43">
        <v>4.0</v>
      </c>
      <c r="J16" s="43">
        <v>9.0</v>
      </c>
    </row>
    <row r="17">
      <c r="A17" s="13" t="s">
        <v>912</v>
      </c>
      <c r="B17" s="43">
        <v>4.0</v>
      </c>
      <c r="C17" s="43">
        <v>4.0</v>
      </c>
      <c r="D17" s="43">
        <v>2.0</v>
      </c>
      <c r="E17" s="43">
        <v>0.0</v>
      </c>
      <c r="F17" s="43">
        <v>7.0</v>
      </c>
      <c r="G17" s="43">
        <v>5.0</v>
      </c>
      <c r="H17" s="43">
        <v>2.0</v>
      </c>
      <c r="I17" s="43">
        <v>8.0</v>
      </c>
      <c r="J17" s="43">
        <v>32.0</v>
      </c>
    </row>
    <row r="18">
      <c r="A18" s="13" t="s">
        <v>918</v>
      </c>
      <c r="B18" s="43">
        <v>86.0</v>
      </c>
      <c r="C18" s="43">
        <v>52.0</v>
      </c>
      <c r="D18" s="43">
        <v>91.0</v>
      </c>
      <c r="E18" s="43">
        <v>0.0</v>
      </c>
      <c r="F18" s="43">
        <v>47.0</v>
      </c>
      <c r="G18" s="43">
        <v>31.0</v>
      </c>
      <c r="H18" s="43">
        <v>14.0</v>
      </c>
      <c r="I18" s="43">
        <v>26.0</v>
      </c>
      <c r="J18" s="43">
        <v>347.0</v>
      </c>
    </row>
    <row r="21" ht="15.75" customHeight="1">
      <c r="A21" s="25" t="s">
        <v>962</v>
      </c>
      <c r="B21" s="26"/>
      <c r="C21" s="26"/>
      <c r="D21" s="26"/>
      <c r="E21" s="26"/>
      <c r="F21" s="26"/>
    </row>
    <row r="22" ht="15.75" customHeight="1">
      <c r="A22" s="27" t="s">
        <v>972</v>
      </c>
      <c r="B22" s="26"/>
      <c r="C22" s="26"/>
      <c r="D22" s="26"/>
      <c r="E22" s="26"/>
      <c r="F22" s="26"/>
    </row>
    <row r="23" ht="15.75" customHeight="1">
      <c r="A23" s="41" t="s">
        <v>978</v>
      </c>
      <c r="B23" s="41" t="s">
        <v>979</v>
      </c>
      <c r="C23" s="41" t="s">
        <v>981</v>
      </c>
      <c r="D23" s="41" t="s">
        <v>982</v>
      </c>
      <c r="E23" s="41" t="s">
        <v>984</v>
      </c>
      <c r="F23" s="41" t="s">
        <v>985</v>
      </c>
    </row>
    <row r="24" ht="15.75" customHeight="1">
      <c r="A24" s="13" t="s">
        <v>861</v>
      </c>
      <c r="B24" s="43">
        <v>141896.0</v>
      </c>
      <c r="C24" s="43">
        <v>26446.0</v>
      </c>
      <c r="D24" s="43">
        <v>18.6</v>
      </c>
      <c r="E24" s="43">
        <v>5921749.0</v>
      </c>
      <c r="F24" s="43">
        <v>4005713.0</v>
      </c>
    </row>
    <row r="25" ht="15.75" customHeight="1">
      <c r="A25" s="13" t="s">
        <v>526</v>
      </c>
      <c r="B25" s="43">
        <v>291084.0</v>
      </c>
      <c r="C25" s="43">
        <v>6250.0</v>
      </c>
      <c r="D25" s="43">
        <v>2.1</v>
      </c>
      <c r="E25" s="43">
        <v>2316647.0</v>
      </c>
      <c r="F25" s="43">
        <v>1094624.0</v>
      </c>
    </row>
    <row r="26" ht="15.75" customHeight="1">
      <c r="A26" s="13" t="s">
        <v>1013</v>
      </c>
      <c r="B26" s="43">
        <v>209988.0</v>
      </c>
      <c r="C26" s="43">
        <v>4449.0</v>
      </c>
      <c r="D26" s="43">
        <v>2.1</v>
      </c>
      <c r="E26" s="43">
        <v>1780059.0</v>
      </c>
      <c r="F26" s="43">
        <v>1069306.0</v>
      </c>
    </row>
    <row r="27" ht="15.75" customHeight="1">
      <c r="A27" s="13" t="s">
        <v>862</v>
      </c>
      <c r="B27" s="43">
        <v>70073.0</v>
      </c>
      <c r="C27" s="43">
        <v>803.0</v>
      </c>
      <c r="D27" s="43">
        <v>1.1</v>
      </c>
      <c r="E27" s="43">
        <v>74600.0</v>
      </c>
      <c r="F27" s="43">
        <v>83800.0</v>
      </c>
    </row>
    <row r="28" ht="15.75" customHeight="1">
      <c r="A28" s="13" t="s">
        <v>864</v>
      </c>
      <c r="B28" s="43">
        <v>3791.0</v>
      </c>
      <c r="C28" s="43">
        <v>3.0</v>
      </c>
      <c r="D28" s="43">
        <v>0.1</v>
      </c>
      <c r="E28" s="43">
        <v>9114.0</v>
      </c>
      <c r="F28" s="43">
        <v>343.0</v>
      </c>
    </row>
    <row r="29" ht="15.75" customHeight="1">
      <c r="A29" s="13" t="s">
        <v>863</v>
      </c>
      <c r="B29" s="43">
        <v>486.0</v>
      </c>
      <c r="C29" s="43">
        <v>0.0</v>
      </c>
      <c r="D29" s="43">
        <v>0.0</v>
      </c>
      <c r="E29" s="43">
        <v>0.0</v>
      </c>
      <c r="F29" s="43">
        <v>0.0</v>
      </c>
    </row>
    <row r="30" ht="15.75" customHeight="1">
      <c r="A30" s="13" t="s">
        <v>668</v>
      </c>
      <c r="B30" s="13" t="s">
        <v>1028</v>
      </c>
      <c r="C30" s="13" t="s">
        <v>1029</v>
      </c>
      <c r="D30" s="13" t="s">
        <v>344</v>
      </c>
      <c r="E30" s="13" t="s">
        <v>1029</v>
      </c>
      <c r="F30" s="13" t="s">
        <v>1029</v>
      </c>
    </row>
    <row r="31" ht="15.75" customHeight="1">
      <c r="A31" s="13" t="s">
        <v>1031</v>
      </c>
      <c r="B31" s="43">
        <v>714318.0</v>
      </c>
      <c r="C31" s="43">
        <v>32098.0</v>
      </c>
      <c r="D31" s="13"/>
      <c r="E31" s="43">
        <v>1.0102169E7</v>
      </c>
      <c r="F31" s="43">
        <v>6253788.0</v>
      </c>
    </row>
    <row r="32" ht="15.75" customHeight="1">
      <c r="A32" s="13" t="s">
        <v>1035</v>
      </c>
      <c r="B32" s="43">
        <v>717318.0</v>
      </c>
      <c r="C32" s="43">
        <v>37951.0</v>
      </c>
      <c r="D32" s="13"/>
      <c r="E32" s="13"/>
      <c r="F32" s="43">
        <v>6253786.0</v>
      </c>
    </row>
    <row r="33" ht="15.75" customHeight="1"/>
    <row r="34" ht="15.75" customHeight="1"/>
    <row r="35" ht="15.75" customHeight="1">
      <c r="A35" s="25" t="s">
        <v>938</v>
      </c>
      <c r="B35" s="26"/>
      <c r="C35" s="26"/>
      <c r="D35" s="26"/>
      <c r="E35" s="26"/>
      <c r="F35" s="26"/>
      <c r="G35" s="26"/>
      <c r="H35" s="26"/>
      <c r="I35" s="26"/>
    </row>
    <row r="36" ht="15.75" customHeight="1">
      <c r="A36" s="27" t="s">
        <v>853</v>
      </c>
      <c r="B36" s="26"/>
      <c r="C36" s="26"/>
      <c r="D36" s="26"/>
      <c r="E36" s="26"/>
      <c r="F36" s="26"/>
      <c r="G36" s="26"/>
      <c r="H36" s="26"/>
      <c r="I36" s="26"/>
    </row>
    <row r="37" ht="15.75" customHeight="1">
      <c r="A37" s="41" t="s">
        <v>858</v>
      </c>
      <c r="B37" s="41" t="s">
        <v>526</v>
      </c>
      <c r="C37" s="41" t="s">
        <v>622</v>
      </c>
      <c r="D37" s="41" t="s">
        <v>644</v>
      </c>
      <c r="E37" s="41" t="s">
        <v>861</v>
      </c>
      <c r="F37" s="41" t="s">
        <v>862</v>
      </c>
      <c r="G37" s="41" t="s">
        <v>863</v>
      </c>
      <c r="H37" s="41" t="s">
        <v>864</v>
      </c>
      <c r="I37" s="41" t="s">
        <v>34</v>
      </c>
    </row>
    <row r="38" ht="15.75" customHeight="1">
      <c r="A38" s="13" t="s">
        <v>477</v>
      </c>
      <c r="B38" s="43">
        <v>14.0</v>
      </c>
      <c r="C38" s="43">
        <v>7.0</v>
      </c>
      <c r="D38" s="43">
        <v>11.0</v>
      </c>
      <c r="E38" s="43">
        <v>7.0</v>
      </c>
      <c r="F38" s="43">
        <v>8.0</v>
      </c>
      <c r="G38" s="43">
        <v>5.0</v>
      </c>
      <c r="H38" s="43">
        <v>6.0</v>
      </c>
      <c r="I38" s="43">
        <v>58.0</v>
      </c>
    </row>
    <row r="39" ht="15.75" customHeight="1">
      <c r="A39" s="13" t="s">
        <v>948</v>
      </c>
      <c r="B39" s="43">
        <v>1.0</v>
      </c>
      <c r="C39" s="43">
        <v>0.0</v>
      </c>
      <c r="D39" s="43">
        <v>0.0</v>
      </c>
      <c r="E39" s="43">
        <v>0.0</v>
      </c>
      <c r="F39" s="43">
        <v>0.0</v>
      </c>
      <c r="G39" s="43">
        <v>0.0</v>
      </c>
      <c r="H39" s="43">
        <v>1.0</v>
      </c>
      <c r="I39" s="43">
        <v>2.0</v>
      </c>
    </row>
    <row r="40" ht="15.75" customHeight="1">
      <c r="A40" s="13" t="s">
        <v>950</v>
      </c>
      <c r="B40" s="43">
        <v>8.0</v>
      </c>
      <c r="C40" s="43">
        <v>5.0</v>
      </c>
      <c r="D40" s="43">
        <v>3.0</v>
      </c>
      <c r="E40" s="43">
        <v>5.0</v>
      </c>
      <c r="F40" s="43">
        <v>5.0</v>
      </c>
      <c r="G40" s="43">
        <v>1.0</v>
      </c>
      <c r="H40" s="43">
        <v>3.0</v>
      </c>
      <c r="I40" s="43">
        <v>30.0</v>
      </c>
    </row>
    <row r="41" ht="15.75" customHeight="1">
      <c r="A41" s="13" t="s">
        <v>952</v>
      </c>
      <c r="B41" s="43">
        <v>5.0</v>
      </c>
      <c r="C41" s="43">
        <v>2.0</v>
      </c>
      <c r="D41" s="43">
        <v>7.0</v>
      </c>
      <c r="E41" s="43">
        <v>2.0</v>
      </c>
      <c r="F41" s="43">
        <v>3.0</v>
      </c>
      <c r="G41" s="43">
        <v>4.0</v>
      </c>
      <c r="H41" s="43">
        <v>1.0</v>
      </c>
      <c r="I41" s="43">
        <v>24.0</v>
      </c>
    </row>
    <row r="42" ht="15.75" customHeight="1">
      <c r="A42" s="13" t="s">
        <v>893</v>
      </c>
      <c r="B42" s="43">
        <v>28.0</v>
      </c>
      <c r="C42" s="43">
        <v>13.0</v>
      </c>
      <c r="D42" s="43">
        <v>23.0</v>
      </c>
      <c r="E42" s="43">
        <v>7.0</v>
      </c>
      <c r="F42" s="43">
        <v>7.0</v>
      </c>
      <c r="G42" s="43">
        <v>3.0</v>
      </c>
      <c r="H42" s="43">
        <v>1.0</v>
      </c>
      <c r="I42" s="43">
        <v>82.0</v>
      </c>
    </row>
    <row r="43" ht="15.75" customHeight="1">
      <c r="A43" s="13" t="s">
        <v>956</v>
      </c>
      <c r="B43" s="43">
        <v>13.0</v>
      </c>
      <c r="C43" s="43">
        <v>11.0</v>
      </c>
      <c r="D43" s="43">
        <v>19.0</v>
      </c>
      <c r="E43" s="43">
        <v>5.0</v>
      </c>
      <c r="F43" s="43">
        <v>6.0</v>
      </c>
      <c r="G43" s="43">
        <v>2.0</v>
      </c>
      <c r="H43" s="43">
        <v>1.0</v>
      </c>
      <c r="I43" s="43">
        <v>57.0</v>
      </c>
    </row>
    <row r="44" ht="15.75" customHeight="1">
      <c r="A44" s="13" t="s">
        <v>959</v>
      </c>
      <c r="B44" s="43">
        <v>15.0</v>
      </c>
      <c r="C44" s="43">
        <v>2.0</v>
      </c>
      <c r="D44" s="43">
        <v>3.0</v>
      </c>
      <c r="E44" s="43">
        <v>0.0</v>
      </c>
      <c r="F44" s="43">
        <v>0.0</v>
      </c>
      <c r="G44" s="43">
        <v>1.0</v>
      </c>
      <c r="H44" s="43">
        <v>0.0</v>
      </c>
      <c r="I44" s="43">
        <v>21.0</v>
      </c>
    </row>
    <row r="45" ht="15.75" customHeight="1">
      <c r="A45" s="13" t="s">
        <v>900</v>
      </c>
      <c r="B45" s="43">
        <v>33.0</v>
      </c>
      <c r="C45" s="43">
        <v>19.0</v>
      </c>
      <c r="D45" s="43">
        <v>28.0</v>
      </c>
      <c r="E45" s="43">
        <v>20.0</v>
      </c>
      <c r="F45" s="43">
        <v>11.0</v>
      </c>
      <c r="G45" s="43">
        <v>2.0</v>
      </c>
      <c r="H45" s="43">
        <v>2.0</v>
      </c>
      <c r="I45" s="43">
        <v>115.0</v>
      </c>
    </row>
    <row r="46" ht="15.75" customHeight="1">
      <c r="A46" s="13" t="s">
        <v>905</v>
      </c>
      <c r="B46" s="43">
        <v>4.0</v>
      </c>
      <c r="C46" s="43">
        <v>9.0</v>
      </c>
      <c r="D46" s="43">
        <v>26.0</v>
      </c>
      <c r="E46" s="43">
        <v>5.0</v>
      </c>
      <c r="F46" s="43">
        <v>0.0</v>
      </c>
      <c r="G46" s="43">
        <v>2.0</v>
      </c>
      <c r="H46" s="43">
        <v>5.0</v>
      </c>
      <c r="I46" s="43">
        <v>51.0</v>
      </c>
    </row>
    <row r="47" ht="15.75" customHeight="1">
      <c r="A47" s="13" t="s">
        <v>970</v>
      </c>
      <c r="B47" s="43">
        <v>3.0</v>
      </c>
      <c r="C47" s="43">
        <v>0.0</v>
      </c>
      <c r="D47" s="43">
        <v>1.0</v>
      </c>
      <c r="E47" s="43">
        <v>1.0</v>
      </c>
      <c r="F47" s="43">
        <v>0.0</v>
      </c>
      <c r="G47" s="43">
        <v>0.0</v>
      </c>
      <c r="H47" s="43">
        <v>4.0</v>
      </c>
      <c r="I47" s="43">
        <v>9.0</v>
      </c>
    </row>
    <row r="48" ht="15.75" customHeight="1">
      <c r="A48" s="13" t="s">
        <v>974</v>
      </c>
      <c r="B48" s="43">
        <v>3.0</v>
      </c>
      <c r="C48" s="43">
        <v>3.0</v>
      </c>
      <c r="D48" s="43">
        <v>2.0</v>
      </c>
      <c r="E48" s="43">
        <v>7.0</v>
      </c>
      <c r="F48" s="43">
        <v>5.0</v>
      </c>
      <c r="G48" s="43">
        <v>2.0</v>
      </c>
      <c r="H48" s="43">
        <v>4.0</v>
      </c>
      <c r="I48" s="43">
        <v>26.0</v>
      </c>
    </row>
    <row r="49" ht="15.75" customHeight="1">
      <c r="A49" s="13" t="s">
        <v>977</v>
      </c>
      <c r="B49" s="43">
        <v>1.0</v>
      </c>
      <c r="C49" s="43">
        <v>1.0</v>
      </c>
      <c r="D49" s="43">
        <v>0.0</v>
      </c>
      <c r="E49" s="43">
        <v>0.0</v>
      </c>
      <c r="F49" s="43">
        <v>0.0</v>
      </c>
      <c r="G49" s="43">
        <v>0.0</v>
      </c>
      <c r="H49" s="43">
        <v>4.0</v>
      </c>
      <c r="I49" s="43">
        <v>6.0</v>
      </c>
    </row>
    <row r="50" ht="15.75" customHeight="1">
      <c r="A50" s="13" t="s">
        <v>986</v>
      </c>
      <c r="B50" s="43">
        <v>86.0</v>
      </c>
      <c r="C50" s="43">
        <v>52.0</v>
      </c>
      <c r="D50" s="43">
        <v>91.0</v>
      </c>
      <c r="E50" s="43">
        <v>47.0</v>
      </c>
      <c r="F50" s="43">
        <v>31.0</v>
      </c>
      <c r="G50" s="43">
        <v>14.0</v>
      </c>
      <c r="H50" s="43">
        <v>26.0</v>
      </c>
      <c r="I50" s="43">
        <v>347.0</v>
      </c>
    </row>
    <row r="51" ht="15.75" customHeight="1">
      <c r="A51" s="42" t="s">
        <v>496</v>
      </c>
    </row>
    <row r="52" ht="15.75" customHeight="1"/>
    <row r="53" ht="15.75" customHeight="1"/>
    <row r="54" ht="15.75" customHeight="1">
      <c r="A54" s="25" t="s">
        <v>2048</v>
      </c>
      <c r="B54" s="26"/>
      <c r="C54" s="26"/>
      <c r="D54" s="26"/>
      <c r="E54" s="26"/>
    </row>
    <row r="55" ht="15.75" customHeight="1">
      <c r="A55" s="27" t="s">
        <v>2050</v>
      </c>
      <c r="B55" s="26"/>
      <c r="C55" s="26"/>
      <c r="D55" s="26"/>
      <c r="E55" s="26"/>
    </row>
    <row r="56" ht="15.75" customHeight="1">
      <c r="A56" s="41" t="s">
        <v>2053</v>
      </c>
      <c r="B56" s="41"/>
      <c r="C56" s="41" t="s">
        <v>2055</v>
      </c>
      <c r="D56" s="41"/>
      <c r="E56" s="41" t="s">
        <v>2057</v>
      </c>
    </row>
    <row r="57" ht="15.75" customHeight="1"/>
    <row r="58" ht="15.75" customHeight="1"/>
    <row r="59" ht="15.75" customHeight="1">
      <c r="A59" s="25" t="s">
        <v>1007</v>
      </c>
      <c r="B59" s="26"/>
      <c r="C59" s="26"/>
      <c r="D59" s="26"/>
      <c r="E59" s="26"/>
      <c r="F59" s="26"/>
      <c r="G59" s="26"/>
      <c r="H59" s="26"/>
      <c r="I59" s="26"/>
    </row>
    <row r="60" ht="15.75" customHeight="1">
      <c r="A60" s="27" t="s">
        <v>853</v>
      </c>
      <c r="B60" s="26"/>
      <c r="C60" s="26"/>
      <c r="D60" s="26"/>
      <c r="E60" s="26"/>
      <c r="F60" s="26"/>
      <c r="G60" s="26"/>
      <c r="H60" s="26"/>
      <c r="I60" s="26"/>
    </row>
    <row r="61" ht="15.75" customHeight="1">
      <c r="A61" s="41" t="s">
        <v>858</v>
      </c>
      <c r="B61" s="41" t="s">
        <v>1015</v>
      </c>
      <c r="C61" s="41" t="s">
        <v>526</v>
      </c>
      <c r="D61" s="41" t="s">
        <v>1016</v>
      </c>
      <c r="E61" s="41" t="s">
        <v>861</v>
      </c>
      <c r="F61" s="41" t="s">
        <v>862</v>
      </c>
      <c r="G61" s="41" t="s">
        <v>863</v>
      </c>
      <c r="H61" s="41" t="s">
        <v>864</v>
      </c>
      <c r="I61" s="41" t="s">
        <v>34</v>
      </c>
    </row>
    <row r="62" ht="15.75" customHeight="1">
      <c r="A62" s="13" t="s">
        <v>477</v>
      </c>
      <c r="B62" s="43">
        <v>7.0</v>
      </c>
      <c r="C62" s="43">
        <v>14.0</v>
      </c>
      <c r="D62" s="43">
        <v>11.0</v>
      </c>
      <c r="E62" s="43">
        <v>7.0</v>
      </c>
      <c r="F62" s="43">
        <v>8.0</v>
      </c>
      <c r="G62" s="43">
        <v>5.0</v>
      </c>
      <c r="H62" s="43">
        <v>6.0</v>
      </c>
      <c r="I62" s="43">
        <v>58.0</v>
      </c>
    </row>
    <row r="63" ht="15.75" customHeight="1">
      <c r="A63" s="13" t="s">
        <v>948</v>
      </c>
      <c r="B63" s="43">
        <v>0.0</v>
      </c>
      <c r="C63" s="43">
        <v>1.0</v>
      </c>
      <c r="D63" s="43">
        <v>0.0</v>
      </c>
      <c r="E63" s="43">
        <v>0.0</v>
      </c>
      <c r="F63" s="43">
        <v>0.0</v>
      </c>
      <c r="G63" s="43">
        <v>0.0</v>
      </c>
      <c r="H63" s="43">
        <v>1.0</v>
      </c>
      <c r="I63" s="43">
        <v>2.0</v>
      </c>
    </row>
    <row r="64" ht="15.75" customHeight="1">
      <c r="A64" s="13" t="s">
        <v>1023</v>
      </c>
      <c r="B64" s="43">
        <v>0.0</v>
      </c>
      <c r="C64" s="43">
        <v>0.0</v>
      </c>
      <c r="D64" s="43">
        <v>1.0</v>
      </c>
      <c r="E64" s="43">
        <v>0.0</v>
      </c>
      <c r="F64" s="43">
        <v>0.0</v>
      </c>
      <c r="G64" s="43">
        <v>0.0</v>
      </c>
      <c r="H64" s="43">
        <v>1.0</v>
      </c>
      <c r="I64" s="43">
        <v>2.0</v>
      </c>
    </row>
    <row r="65" ht="15.75" customHeight="1">
      <c r="A65" s="13" t="s">
        <v>950</v>
      </c>
      <c r="B65" s="43">
        <v>5.0</v>
      </c>
      <c r="C65" s="43">
        <v>8.0</v>
      </c>
      <c r="D65" s="43">
        <v>3.0</v>
      </c>
      <c r="E65" s="43">
        <v>5.0</v>
      </c>
      <c r="F65" s="43">
        <v>5.0</v>
      </c>
      <c r="G65" s="43">
        <v>1.0</v>
      </c>
      <c r="H65" s="43">
        <v>3.0</v>
      </c>
      <c r="I65" s="43">
        <v>30.0</v>
      </c>
    </row>
    <row r="66" ht="15.75" customHeight="1">
      <c r="A66" s="13" t="s">
        <v>952</v>
      </c>
      <c r="B66" s="43">
        <v>2.0</v>
      </c>
      <c r="C66" s="43">
        <v>5.0</v>
      </c>
      <c r="D66" s="43">
        <v>7.0</v>
      </c>
      <c r="E66" s="43">
        <v>2.0</v>
      </c>
      <c r="F66" s="43">
        <v>3.0</v>
      </c>
      <c r="G66" s="43">
        <v>4.0</v>
      </c>
      <c r="H66" s="43">
        <v>1.0</v>
      </c>
      <c r="I66" s="43">
        <v>24.0</v>
      </c>
    </row>
    <row r="67" ht="15.75" customHeight="1">
      <c r="A67" s="13" t="s">
        <v>893</v>
      </c>
      <c r="B67" s="43">
        <v>13.0</v>
      </c>
      <c r="C67" s="43">
        <v>28.0</v>
      </c>
      <c r="D67" s="43">
        <v>23.0</v>
      </c>
      <c r="E67" s="43">
        <v>7.0</v>
      </c>
      <c r="F67" s="43">
        <v>7.0</v>
      </c>
      <c r="G67" s="43">
        <v>3.0</v>
      </c>
      <c r="H67" s="43">
        <v>1.0</v>
      </c>
      <c r="I67" s="43">
        <v>82.0</v>
      </c>
    </row>
    <row r="68" ht="15.75" customHeight="1">
      <c r="A68" s="13" t="s">
        <v>956</v>
      </c>
      <c r="B68" s="43">
        <v>11.0</v>
      </c>
      <c r="C68" s="43">
        <v>13.0</v>
      </c>
      <c r="D68" s="43">
        <v>19.0</v>
      </c>
      <c r="E68" s="43">
        <v>5.0</v>
      </c>
      <c r="F68" s="43">
        <v>6.0</v>
      </c>
      <c r="G68" s="43">
        <v>2.0</v>
      </c>
      <c r="H68" s="43">
        <v>1.0</v>
      </c>
      <c r="I68" s="43">
        <v>57.0</v>
      </c>
    </row>
    <row r="69" ht="15.75" customHeight="1">
      <c r="A69" s="13" t="s">
        <v>959</v>
      </c>
      <c r="B69" s="43">
        <v>2.0</v>
      </c>
      <c r="C69" s="43">
        <v>15.0</v>
      </c>
      <c r="D69" s="43">
        <v>3.0</v>
      </c>
      <c r="E69" s="43">
        <v>0.0</v>
      </c>
      <c r="F69" s="43">
        <v>0.0</v>
      </c>
      <c r="G69" s="43">
        <v>1.0</v>
      </c>
      <c r="H69" s="43">
        <v>0.0</v>
      </c>
      <c r="I69" s="43">
        <v>21.0</v>
      </c>
    </row>
    <row r="70" ht="15.75" customHeight="1">
      <c r="A70" s="13" t="s">
        <v>900</v>
      </c>
      <c r="B70" s="43">
        <v>19.0</v>
      </c>
      <c r="C70" s="43">
        <v>33.0</v>
      </c>
      <c r="D70" s="43">
        <v>28.0</v>
      </c>
      <c r="E70" s="43">
        <v>20.0</v>
      </c>
      <c r="F70" s="43">
        <v>11.0</v>
      </c>
      <c r="G70" s="43">
        <v>2.0</v>
      </c>
      <c r="H70" s="43">
        <v>2.0</v>
      </c>
      <c r="I70" s="43">
        <v>115.0</v>
      </c>
    </row>
    <row r="71" ht="15.75" customHeight="1">
      <c r="A71" s="13" t="s">
        <v>905</v>
      </c>
      <c r="B71" s="43">
        <v>9.0</v>
      </c>
      <c r="C71" s="43">
        <v>4.0</v>
      </c>
      <c r="D71" s="43">
        <v>26.0</v>
      </c>
      <c r="E71" s="43">
        <v>5.0</v>
      </c>
      <c r="F71" s="43">
        <v>0.0</v>
      </c>
      <c r="G71" s="43">
        <v>2.0</v>
      </c>
      <c r="H71" s="43">
        <v>5.0</v>
      </c>
      <c r="I71" s="43">
        <v>51.0</v>
      </c>
    </row>
    <row r="72" ht="15.75" customHeight="1">
      <c r="A72" s="13" t="s">
        <v>909</v>
      </c>
      <c r="B72" s="43">
        <v>0.0</v>
      </c>
      <c r="C72" s="43">
        <v>3.0</v>
      </c>
      <c r="D72" s="43">
        <v>1.0</v>
      </c>
      <c r="E72" s="43">
        <v>1.0</v>
      </c>
      <c r="F72" s="43">
        <v>0.0</v>
      </c>
      <c r="G72" s="43">
        <v>0.0</v>
      </c>
      <c r="H72" s="43">
        <v>4.0</v>
      </c>
      <c r="I72" s="43">
        <v>9.0</v>
      </c>
    </row>
    <row r="73" ht="15.75" customHeight="1">
      <c r="A73" s="13" t="s">
        <v>912</v>
      </c>
      <c r="B73" s="43">
        <v>4.0</v>
      </c>
      <c r="C73" s="43">
        <v>4.0</v>
      </c>
      <c r="D73" s="43">
        <v>2.0</v>
      </c>
      <c r="E73" s="43">
        <v>7.0</v>
      </c>
      <c r="F73" s="43">
        <v>5.0</v>
      </c>
      <c r="G73" s="43">
        <v>2.0</v>
      </c>
      <c r="H73" s="43">
        <v>8.0</v>
      </c>
      <c r="I73" s="43">
        <v>32.0</v>
      </c>
    </row>
    <row r="74" ht="15.75" customHeight="1">
      <c r="A74" s="13" t="s">
        <v>986</v>
      </c>
      <c r="B74" s="43">
        <v>52.0</v>
      </c>
      <c r="C74" s="43">
        <v>86.0</v>
      </c>
      <c r="D74" s="43">
        <v>91.0</v>
      </c>
      <c r="E74" s="43">
        <v>47.0</v>
      </c>
      <c r="F74" s="43">
        <v>31.0</v>
      </c>
      <c r="G74" s="43">
        <v>14.0</v>
      </c>
      <c r="H74" s="43">
        <v>26.0</v>
      </c>
      <c r="I74" s="43">
        <v>347.0</v>
      </c>
    </row>
    <row r="75" ht="15.75" customHeight="1">
      <c r="A75" s="42" t="s">
        <v>750</v>
      </c>
    </row>
    <row r="76" ht="15.75" customHeight="1"/>
    <row r="77" ht="15.75" customHeight="1"/>
    <row r="78" ht="15.75" customHeight="1">
      <c r="A78" s="25" t="s">
        <v>2075</v>
      </c>
      <c r="B78" s="26"/>
      <c r="C78" s="26"/>
      <c r="D78" s="26"/>
      <c r="E78" s="26"/>
      <c r="F78" s="26"/>
      <c r="G78" s="26"/>
    </row>
    <row r="79" ht="15.75" customHeight="1">
      <c r="A79" s="27" t="s">
        <v>2076</v>
      </c>
      <c r="B79" s="26"/>
      <c r="C79" s="26"/>
      <c r="D79" s="26"/>
      <c r="E79" s="26"/>
      <c r="F79" s="26"/>
      <c r="G79" s="26"/>
    </row>
    <row r="80" ht="15.75" customHeight="1">
      <c r="A80" s="41" t="s">
        <v>2078</v>
      </c>
      <c r="B80" s="41"/>
      <c r="C80" s="41" t="s">
        <v>2079</v>
      </c>
      <c r="D80" s="41"/>
      <c r="E80" s="41" t="s">
        <v>2080</v>
      </c>
      <c r="F80" s="41"/>
      <c r="G80" s="41" t="s">
        <v>2081</v>
      </c>
    </row>
    <row r="81" ht="15.75" customHeight="1">
      <c r="A81" s="13" t="s">
        <v>2082</v>
      </c>
      <c r="B81" s="13"/>
      <c r="C81" s="13" t="s">
        <v>2083</v>
      </c>
      <c r="D81" s="13"/>
      <c r="E81" s="13" t="s">
        <v>2084</v>
      </c>
      <c r="F81" s="13"/>
      <c r="G81" s="13" t="s">
        <v>2085</v>
      </c>
    </row>
    <row r="82" ht="15.75" customHeight="1"/>
    <row r="83" ht="15.75" customHeight="1"/>
    <row r="84" ht="15.75" customHeight="1">
      <c r="A84" s="25" t="s">
        <v>1048</v>
      </c>
      <c r="B84" s="26"/>
      <c r="C84" s="26"/>
      <c r="D84" s="26"/>
      <c r="E84" s="26"/>
      <c r="F84" s="26"/>
      <c r="G84" s="26"/>
      <c r="H84" s="26"/>
      <c r="I84" s="26"/>
    </row>
    <row r="85" ht="15.75" customHeight="1">
      <c r="A85" s="27" t="s">
        <v>853</v>
      </c>
      <c r="B85" s="26"/>
      <c r="C85" s="26"/>
      <c r="D85" s="26"/>
      <c r="E85" s="26"/>
      <c r="F85" s="26"/>
      <c r="G85" s="26"/>
      <c r="H85" s="26"/>
      <c r="I85" s="26"/>
    </row>
    <row r="86" ht="15.75" customHeight="1">
      <c r="A86" s="41" t="s">
        <v>858</v>
      </c>
      <c r="B86" s="41" t="s">
        <v>644</v>
      </c>
      <c r="C86" s="41" t="s">
        <v>526</v>
      </c>
      <c r="D86" s="41" t="s">
        <v>622</v>
      </c>
      <c r="E86" s="41" t="s">
        <v>861</v>
      </c>
      <c r="F86" s="41" t="s">
        <v>862</v>
      </c>
      <c r="G86" s="41" t="s">
        <v>863</v>
      </c>
      <c r="H86" s="41" t="s">
        <v>864</v>
      </c>
      <c r="I86" s="41" t="s">
        <v>34</v>
      </c>
    </row>
    <row r="87" ht="15.75" customHeight="1">
      <c r="A87" s="13" t="s">
        <v>477</v>
      </c>
      <c r="B87" s="43">
        <v>11.0</v>
      </c>
      <c r="C87" s="43">
        <v>14.0</v>
      </c>
      <c r="D87" s="43">
        <v>7.0</v>
      </c>
      <c r="E87" s="43">
        <v>7.0</v>
      </c>
      <c r="F87" s="43">
        <v>8.0</v>
      </c>
      <c r="G87" s="43">
        <v>5.0</v>
      </c>
      <c r="H87" s="43">
        <v>6.0</v>
      </c>
      <c r="I87" s="43">
        <v>58.0</v>
      </c>
    </row>
    <row r="88" ht="15.75" customHeight="1">
      <c r="A88" s="13" t="s">
        <v>876</v>
      </c>
      <c r="B88" s="43">
        <v>0.0</v>
      </c>
      <c r="C88" s="43">
        <v>1.0</v>
      </c>
      <c r="D88" s="43">
        <v>0.0</v>
      </c>
      <c r="E88" s="43">
        <v>0.0</v>
      </c>
      <c r="F88" s="43">
        <v>0.0</v>
      </c>
      <c r="G88" s="43">
        <v>0.0</v>
      </c>
      <c r="H88" s="43">
        <v>1.0</v>
      </c>
      <c r="I88" s="43">
        <v>2.0</v>
      </c>
    </row>
    <row r="89" ht="15.75" customHeight="1">
      <c r="A89" s="13" t="s">
        <v>881</v>
      </c>
      <c r="B89" s="43">
        <v>1.0</v>
      </c>
      <c r="C89" s="43">
        <v>0.0</v>
      </c>
      <c r="D89" s="43">
        <v>0.0</v>
      </c>
      <c r="E89" s="43">
        <v>0.0</v>
      </c>
      <c r="F89" s="43">
        <v>0.0</v>
      </c>
      <c r="G89" s="43">
        <v>0.0</v>
      </c>
      <c r="H89" s="43">
        <v>1.0</v>
      </c>
      <c r="I89" s="43">
        <v>2.0</v>
      </c>
    </row>
    <row r="90" ht="15.75" customHeight="1">
      <c r="A90" s="13" t="s">
        <v>886</v>
      </c>
      <c r="B90" s="43">
        <v>3.0</v>
      </c>
      <c r="C90" s="43">
        <v>8.0</v>
      </c>
      <c r="D90" s="43">
        <v>5.0</v>
      </c>
      <c r="E90" s="43">
        <v>5.0</v>
      </c>
      <c r="F90" s="43">
        <v>5.0</v>
      </c>
      <c r="G90" s="43">
        <v>1.0</v>
      </c>
      <c r="H90" s="43">
        <v>3.0</v>
      </c>
      <c r="I90" s="43">
        <v>30.0</v>
      </c>
    </row>
    <row r="91" ht="15.75" customHeight="1">
      <c r="A91" s="13" t="s">
        <v>889</v>
      </c>
      <c r="B91" s="43">
        <v>7.0</v>
      </c>
      <c r="C91" s="43">
        <v>5.0</v>
      </c>
      <c r="D91" s="43">
        <v>2.0</v>
      </c>
      <c r="E91" s="43">
        <v>2.0</v>
      </c>
      <c r="F91" s="43">
        <v>3.0</v>
      </c>
      <c r="G91" s="43">
        <v>4.0</v>
      </c>
      <c r="H91" s="43">
        <v>1.0</v>
      </c>
      <c r="I91" s="43">
        <v>24.0</v>
      </c>
    </row>
    <row r="92" ht="15.75" customHeight="1">
      <c r="A92" s="13" t="s">
        <v>893</v>
      </c>
      <c r="B92" s="43">
        <v>23.0</v>
      </c>
      <c r="C92" s="43">
        <v>28.0</v>
      </c>
      <c r="D92" s="43">
        <v>13.0</v>
      </c>
      <c r="E92" s="43">
        <v>7.0</v>
      </c>
      <c r="F92" s="43">
        <v>7.0</v>
      </c>
      <c r="G92" s="43">
        <v>3.0</v>
      </c>
      <c r="H92" s="43">
        <v>1.0</v>
      </c>
      <c r="I92" s="43">
        <v>82.0</v>
      </c>
    </row>
    <row r="93" ht="15.75" customHeight="1">
      <c r="A93" s="13" t="s">
        <v>897</v>
      </c>
      <c r="B93" s="43">
        <v>19.0</v>
      </c>
      <c r="C93" s="43">
        <v>13.0</v>
      </c>
      <c r="D93" s="43">
        <v>11.0</v>
      </c>
      <c r="E93" s="43">
        <v>5.0</v>
      </c>
      <c r="F93" s="43">
        <v>6.0</v>
      </c>
      <c r="G93" s="43">
        <v>2.0</v>
      </c>
      <c r="H93" s="43">
        <v>1.0</v>
      </c>
      <c r="I93" s="43">
        <v>57.0</v>
      </c>
    </row>
    <row r="94" ht="15.75" customHeight="1">
      <c r="A94" s="13" t="s">
        <v>900</v>
      </c>
      <c r="B94" s="43">
        <v>28.0</v>
      </c>
      <c r="C94" s="43">
        <v>33.0</v>
      </c>
      <c r="D94" s="43">
        <v>19.0</v>
      </c>
      <c r="E94" s="43">
        <v>20.0</v>
      </c>
      <c r="F94" s="43">
        <v>11.0</v>
      </c>
      <c r="G94" s="43">
        <v>2.0</v>
      </c>
      <c r="H94" s="43">
        <v>2.0</v>
      </c>
      <c r="I94" s="43">
        <v>115.0</v>
      </c>
    </row>
    <row r="95" ht="15.75" customHeight="1">
      <c r="A95" s="13" t="s">
        <v>905</v>
      </c>
      <c r="B95" s="43">
        <v>26.0</v>
      </c>
      <c r="C95" s="43">
        <v>4.0</v>
      </c>
      <c r="D95" s="43">
        <v>9.0</v>
      </c>
      <c r="E95" s="43">
        <v>5.0</v>
      </c>
      <c r="F95" s="43">
        <v>0.0</v>
      </c>
      <c r="G95" s="43">
        <v>2.0</v>
      </c>
      <c r="H95" s="43">
        <v>5.0</v>
      </c>
      <c r="I95" s="43">
        <v>51.0</v>
      </c>
    </row>
    <row r="96" ht="15.75" customHeight="1">
      <c r="A96" s="13" t="s">
        <v>1053</v>
      </c>
      <c r="B96" s="43">
        <v>22.0</v>
      </c>
      <c r="C96" s="43">
        <v>4.0</v>
      </c>
      <c r="D96" s="43">
        <v>5.0</v>
      </c>
      <c r="E96" s="43">
        <v>2.0</v>
      </c>
      <c r="F96" s="43">
        <v>0.0</v>
      </c>
      <c r="G96" s="43">
        <v>0.0</v>
      </c>
      <c r="H96" s="43">
        <v>3.0</v>
      </c>
      <c r="I96" s="43">
        <v>36.0</v>
      </c>
    </row>
    <row r="97" ht="15.75" customHeight="1">
      <c r="A97" s="13" t="s">
        <v>1054</v>
      </c>
      <c r="B97" s="43">
        <v>1.0</v>
      </c>
      <c r="C97" s="43">
        <v>3.0</v>
      </c>
      <c r="D97" s="43">
        <v>0.0</v>
      </c>
      <c r="E97" s="43">
        <v>1.0</v>
      </c>
      <c r="F97" s="43">
        <v>0.0</v>
      </c>
      <c r="G97" s="43">
        <v>0.0</v>
      </c>
      <c r="H97" s="43">
        <v>4.0</v>
      </c>
      <c r="I97" s="43">
        <v>9.0</v>
      </c>
    </row>
    <row r="98" ht="15.75" customHeight="1">
      <c r="A98" s="13" t="s">
        <v>974</v>
      </c>
      <c r="B98" s="43">
        <v>2.0</v>
      </c>
      <c r="C98" s="43">
        <v>3.0</v>
      </c>
      <c r="D98" s="43">
        <v>3.0</v>
      </c>
      <c r="E98" s="43">
        <v>7.0</v>
      </c>
      <c r="F98" s="43">
        <v>5.0</v>
      </c>
      <c r="G98" s="43">
        <v>2.0</v>
      </c>
      <c r="H98" s="43">
        <v>4.0</v>
      </c>
      <c r="I98" s="43">
        <v>26.0</v>
      </c>
    </row>
    <row r="99" ht="15.75" customHeight="1">
      <c r="A99" s="13" t="s">
        <v>1055</v>
      </c>
      <c r="B99" s="43">
        <v>0.0</v>
      </c>
      <c r="C99" s="43">
        <v>1.0</v>
      </c>
      <c r="D99" s="43">
        <v>1.0</v>
      </c>
      <c r="E99" s="43">
        <v>0.0</v>
      </c>
      <c r="F99" s="43">
        <v>0.0</v>
      </c>
      <c r="G99" s="43">
        <v>0.0</v>
      </c>
      <c r="H99" s="43">
        <v>4.0</v>
      </c>
      <c r="I99" s="43">
        <v>6.0</v>
      </c>
    </row>
    <row r="100" ht="15.75" customHeight="1">
      <c r="A100" s="13" t="s">
        <v>986</v>
      </c>
      <c r="B100" s="43">
        <v>91.0</v>
      </c>
      <c r="C100" s="43">
        <v>86.0</v>
      </c>
      <c r="D100" s="43">
        <v>52.0</v>
      </c>
      <c r="E100" s="43">
        <v>47.0</v>
      </c>
      <c r="F100" s="43">
        <v>31.0</v>
      </c>
      <c r="G100" s="43">
        <v>14.0</v>
      </c>
      <c r="H100" s="43">
        <v>26.0</v>
      </c>
      <c r="I100" s="43">
        <v>347.0</v>
      </c>
    </row>
    <row r="101" ht="15.75" customHeight="1">
      <c r="A101" s="42" t="s">
        <v>902</v>
      </c>
    </row>
    <row r="102" ht="15.75" customHeight="1"/>
    <row r="103" ht="15.75" customHeight="1"/>
    <row r="104" ht="15.75" customHeight="1">
      <c r="A104" s="25" t="s">
        <v>1049</v>
      </c>
      <c r="B104" s="26"/>
      <c r="C104" s="26"/>
      <c r="D104" s="26"/>
      <c r="E104" s="26"/>
      <c r="F104" s="26"/>
    </row>
    <row r="105" ht="15.75" customHeight="1">
      <c r="A105" s="27" t="s">
        <v>1050</v>
      </c>
      <c r="B105" s="26"/>
      <c r="C105" s="26"/>
      <c r="D105" s="26"/>
      <c r="E105" s="26"/>
      <c r="F105" s="26"/>
    </row>
    <row r="106" ht="15.75" customHeight="1">
      <c r="A106" s="41" t="s">
        <v>978</v>
      </c>
      <c r="B106" s="41" t="s">
        <v>979</v>
      </c>
      <c r="C106" s="41" t="s">
        <v>1051</v>
      </c>
      <c r="D106" s="41" t="s">
        <v>982</v>
      </c>
      <c r="E106" s="41" t="s">
        <v>984</v>
      </c>
      <c r="F106" s="41" t="s">
        <v>985</v>
      </c>
    </row>
    <row r="107" ht="15.75" customHeight="1">
      <c r="A107" s="13" t="s">
        <v>861</v>
      </c>
      <c r="B107" s="43">
        <v>141896.0</v>
      </c>
      <c r="C107" s="43">
        <v>26446.0</v>
      </c>
      <c r="D107" s="43">
        <v>18.6</v>
      </c>
      <c r="E107" s="43">
        <v>5921749.0</v>
      </c>
      <c r="F107" s="43">
        <v>4005713.0</v>
      </c>
    </row>
    <row r="108" ht="15.75" customHeight="1">
      <c r="A108" s="13" t="s">
        <v>526</v>
      </c>
      <c r="B108" s="43">
        <v>291084.0</v>
      </c>
      <c r="C108" s="43">
        <v>6250.0</v>
      </c>
      <c r="D108" s="43">
        <v>2.1</v>
      </c>
      <c r="E108" s="43">
        <v>2316647.0</v>
      </c>
      <c r="F108" s="43">
        <v>1094624.0</v>
      </c>
    </row>
    <row r="109" ht="15.75" customHeight="1">
      <c r="A109" s="13" t="s">
        <v>1013</v>
      </c>
      <c r="B109" s="43">
        <v>209988.0</v>
      </c>
      <c r="C109" s="43">
        <v>4449.0</v>
      </c>
      <c r="D109" s="43">
        <v>2.1</v>
      </c>
      <c r="E109" s="43">
        <v>1780059.0</v>
      </c>
      <c r="F109" s="43">
        <v>1069306.0</v>
      </c>
    </row>
    <row r="110" ht="15.75" customHeight="1">
      <c r="A110" s="13" t="s">
        <v>862</v>
      </c>
      <c r="B110" s="43">
        <v>70073.0</v>
      </c>
      <c r="C110" s="43">
        <v>803.0</v>
      </c>
      <c r="D110" s="43">
        <v>1.1</v>
      </c>
      <c r="E110" s="43">
        <v>74600.0</v>
      </c>
      <c r="F110" s="43">
        <v>83800.0</v>
      </c>
    </row>
    <row r="111" ht="15.75" customHeight="1">
      <c r="A111" s="13" t="s">
        <v>864</v>
      </c>
      <c r="B111" s="43">
        <v>3791.0</v>
      </c>
      <c r="C111" s="43">
        <v>3.0</v>
      </c>
      <c r="D111" s="43">
        <v>0.1</v>
      </c>
      <c r="E111" s="43">
        <v>9114.0</v>
      </c>
      <c r="F111" s="43">
        <v>343.0</v>
      </c>
    </row>
    <row r="112" ht="15.75" customHeight="1">
      <c r="A112" s="13" t="s">
        <v>863</v>
      </c>
      <c r="B112" s="43">
        <v>486.0</v>
      </c>
      <c r="C112" s="43">
        <v>0.0</v>
      </c>
      <c r="D112" s="43">
        <v>0.0</v>
      </c>
      <c r="E112" s="43">
        <v>0.0</v>
      </c>
      <c r="F112" s="43">
        <v>0.0</v>
      </c>
    </row>
    <row r="113" ht="15.75" customHeight="1">
      <c r="A113" s="13" t="s">
        <v>1059</v>
      </c>
      <c r="B113" s="43">
        <v>714318.0</v>
      </c>
      <c r="C113" s="43">
        <v>32098.0</v>
      </c>
      <c r="D113" s="13"/>
      <c r="E113" s="43">
        <v>1.0102169E7</v>
      </c>
      <c r="F113" s="43">
        <v>6253788.0</v>
      </c>
    </row>
    <row r="114" ht="15.75" customHeight="1">
      <c r="A114" s="42" t="s">
        <v>907</v>
      </c>
    </row>
    <row r="115" ht="15.75" customHeight="1"/>
    <row r="116" ht="15.75" customHeight="1"/>
    <row r="117" ht="15.75" customHeight="1">
      <c r="A117" s="25" t="s">
        <v>1065</v>
      </c>
      <c r="B117" s="26"/>
      <c r="C117" s="26"/>
      <c r="D117" s="26"/>
      <c r="E117" s="26"/>
      <c r="F117" s="26"/>
      <c r="G117" s="26"/>
      <c r="H117" s="26"/>
      <c r="I117" s="26"/>
    </row>
    <row r="118" ht="15.75" customHeight="1">
      <c r="A118" s="27" t="s">
        <v>1070</v>
      </c>
      <c r="B118" s="26"/>
      <c r="C118" s="26"/>
      <c r="D118" s="26"/>
      <c r="E118" s="26"/>
      <c r="F118" s="26"/>
      <c r="G118" s="26"/>
      <c r="H118" s="26"/>
      <c r="I118" s="26"/>
    </row>
    <row r="119" ht="15.75" customHeight="1">
      <c r="A119" s="41" t="s">
        <v>858</v>
      </c>
      <c r="B119" s="41" t="s">
        <v>526</v>
      </c>
      <c r="C119" s="41" t="s">
        <v>622</v>
      </c>
      <c r="D119" s="41" t="s">
        <v>644</v>
      </c>
      <c r="E119" s="41" t="s">
        <v>861</v>
      </c>
      <c r="F119" s="41" t="s">
        <v>862</v>
      </c>
      <c r="G119" s="41" t="s">
        <v>863</v>
      </c>
      <c r="H119" s="41" t="s">
        <v>864</v>
      </c>
      <c r="I119" s="41" t="s">
        <v>34</v>
      </c>
    </row>
    <row r="120" ht="15.75" customHeight="1">
      <c r="A120" s="13" t="s">
        <v>1073</v>
      </c>
      <c r="B120" s="43">
        <v>14.0</v>
      </c>
      <c r="C120" s="43">
        <v>7.0</v>
      </c>
      <c r="D120" s="43">
        <v>11.0</v>
      </c>
      <c r="E120" s="43">
        <v>7.0</v>
      </c>
      <c r="F120" s="43">
        <v>8.0</v>
      </c>
      <c r="G120" s="43">
        <v>5.0</v>
      </c>
      <c r="H120" s="43">
        <v>6.0</v>
      </c>
      <c r="I120" s="43">
        <v>58.0</v>
      </c>
    </row>
    <row r="121" ht="15.75" customHeight="1">
      <c r="A121" s="13" t="s">
        <v>948</v>
      </c>
      <c r="B121" s="43">
        <v>1.0</v>
      </c>
      <c r="C121" s="43">
        <v>0.0</v>
      </c>
      <c r="D121" s="43">
        <v>0.0</v>
      </c>
      <c r="E121" s="43">
        <v>0.0</v>
      </c>
      <c r="F121" s="43">
        <v>0.0</v>
      </c>
      <c r="G121" s="43">
        <v>0.0</v>
      </c>
      <c r="H121" s="43">
        <v>1.0</v>
      </c>
      <c r="I121" s="43">
        <v>2.0</v>
      </c>
    </row>
    <row r="122" ht="15.75" customHeight="1">
      <c r="A122" s="13" t="s">
        <v>1023</v>
      </c>
      <c r="B122" s="43">
        <v>0.0</v>
      </c>
      <c r="C122" s="43">
        <v>0.0</v>
      </c>
      <c r="D122" s="43">
        <v>1.0</v>
      </c>
      <c r="E122" s="43">
        <v>0.0</v>
      </c>
      <c r="F122" s="43">
        <v>0.0</v>
      </c>
      <c r="G122" s="43">
        <v>0.0</v>
      </c>
      <c r="H122" s="43">
        <v>1.0</v>
      </c>
      <c r="I122" s="43">
        <v>2.0</v>
      </c>
    </row>
    <row r="123" ht="15.75" customHeight="1">
      <c r="A123" s="13" t="s">
        <v>950</v>
      </c>
      <c r="B123" s="43">
        <v>8.0</v>
      </c>
      <c r="C123" s="43">
        <v>5.0</v>
      </c>
      <c r="D123" s="43">
        <v>3.0</v>
      </c>
      <c r="E123" s="43">
        <v>5.0</v>
      </c>
      <c r="F123" s="43">
        <v>5.0</v>
      </c>
      <c r="G123" s="43">
        <v>1.0</v>
      </c>
      <c r="H123" s="43">
        <v>3.0</v>
      </c>
      <c r="I123" s="43">
        <v>30.0</v>
      </c>
    </row>
    <row r="124" ht="15.75" customHeight="1">
      <c r="A124" s="13" t="s">
        <v>952</v>
      </c>
      <c r="B124" s="43">
        <v>5.0</v>
      </c>
      <c r="C124" s="43">
        <v>2.0</v>
      </c>
      <c r="D124" s="43">
        <v>7.0</v>
      </c>
      <c r="E124" s="43">
        <v>2.0</v>
      </c>
      <c r="F124" s="43">
        <v>3.0</v>
      </c>
      <c r="G124" s="43">
        <v>4.0</v>
      </c>
      <c r="H124" s="43">
        <v>1.0</v>
      </c>
      <c r="I124" s="43">
        <v>24.0</v>
      </c>
    </row>
    <row r="125" ht="15.75" customHeight="1">
      <c r="A125" s="13" t="s">
        <v>1075</v>
      </c>
      <c r="B125" s="43">
        <v>0.0</v>
      </c>
      <c r="C125" s="43">
        <v>1.0</v>
      </c>
      <c r="D125" s="43">
        <v>0.0</v>
      </c>
      <c r="E125" s="43">
        <v>0.0</v>
      </c>
      <c r="F125" s="43">
        <v>0.0</v>
      </c>
      <c r="G125" s="43">
        <v>0.0</v>
      </c>
      <c r="H125" s="43">
        <v>0.0</v>
      </c>
      <c r="I125" s="43">
        <v>1.0</v>
      </c>
    </row>
    <row r="126" ht="15.75" customHeight="1">
      <c r="A126" s="13" t="s">
        <v>1076</v>
      </c>
      <c r="B126" s="43">
        <v>0.0</v>
      </c>
      <c r="C126" s="43">
        <v>0.0</v>
      </c>
      <c r="D126" s="43">
        <v>0.0</v>
      </c>
      <c r="E126" s="43">
        <v>0.0</v>
      </c>
      <c r="F126" s="43">
        <v>0.0</v>
      </c>
      <c r="G126" s="43">
        <v>0.0</v>
      </c>
      <c r="H126" s="43">
        <v>2.0</v>
      </c>
      <c r="I126" s="43">
        <v>2.0</v>
      </c>
    </row>
    <row r="127" ht="15.75" customHeight="1">
      <c r="A127" s="13" t="s">
        <v>1077</v>
      </c>
      <c r="B127" s="43">
        <v>28.0</v>
      </c>
      <c r="C127" s="43">
        <v>13.0</v>
      </c>
      <c r="D127" s="43">
        <v>23.0</v>
      </c>
      <c r="E127" s="43">
        <v>7.0</v>
      </c>
      <c r="F127" s="43">
        <v>7.0</v>
      </c>
      <c r="G127" s="43">
        <v>3.0</v>
      </c>
      <c r="H127" s="43">
        <v>1.0</v>
      </c>
      <c r="I127" s="43">
        <v>82.0</v>
      </c>
    </row>
    <row r="128" ht="15.75" customHeight="1">
      <c r="A128" s="13" t="s">
        <v>1079</v>
      </c>
      <c r="B128" s="43">
        <v>13.0</v>
      </c>
      <c r="C128" s="43">
        <v>11.0</v>
      </c>
      <c r="D128" s="43">
        <v>19.0</v>
      </c>
      <c r="E128" s="43">
        <v>5.0</v>
      </c>
      <c r="F128" s="43">
        <v>6.0</v>
      </c>
      <c r="G128" s="43">
        <v>2.0</v>
      </c>
      <c r="H128" s="43">
        <v>1.0</v>
      </c>
      <c r="I128" s="43">
        <v>57.0</v>
      </c>
    </row>
    <row r="129" ht="15.75" customHeight="1">
      <c r="A129" s="13" t="s">
        <v>1081</v>
      </c>
      <c r="B129" s="43">
        <v>0.0</v>
      </c>
      <c r="C129" s="43">
        <v>0.0</v>
      </c>
      <c r="D129" s="43">
        <v>1.0</v>
      </c>
      <c r="E129" s="43">
        <v>2.0</v>
      </c>
      <c r="F129" s="43">
        <v>1.0</v>
      </c>
      <c r="G129" s="43">
        <v>0.0</v>
      </c>
      <c r="H129" s="43">
        <v>0.0</v>
      </c>
      <c r="I129" s="43">
        <v>4.0</v>
      </c>
    </row>
    <row r="130" ht="15.75" customHeight="1">
      <c r="A130" s="13" t="s">
        <v>1082</v>
      </c>
      <c r="B130" s="43">
        <v>15.0</v>
      </c>
      <c r="C130" s="43">
        <v>2.0</v>
      </c>
      <c r="D130" s="43">
        <v>3.0</v>
      </c>
      <c r="E130" s="43">
        <v>0.0</v>
      </c>
      <c r="F130" s="43">
        <v>0.0</v>
      </c>
      <c r="G130" s="43">
        <v>1.0</v>
      </c>
      <c r="H130" s="43">
        <v>0.0</v>
      </c>
      <c r="I130" s="43">
        <v>21.0</v>
      </c>
    </row>
    <row r="131" ht="15.75" customHeight="1">
      <c r="A131" s="13" t="s">
        <v>1084</v>
      </c>
      <c r="B131" s="43">
        <v>33.0</v>
      </c>
      <c r="C131" s="43">
        <v>19.0</v>
      </c>
      <c r="D131" s="43">
        <v>28.0</v>
      </c>
      <c r="E131" s="43">
        <v>20.0</v>
      </c>
      <c r="F131" s="43">
        <v>11.0</v>
      </c>
      <c r="G131" s="43">
        <v>2.0</v>
      </c>
      <c r="H131" s="43">
        <v>2.0</v>
      </c>
      <c r="I131" s="43">
        <v>115.0</v>
      </c>
    </row>
    <row r="132" ht="15.75" customHeight="1">
      <c r="A132" s="13" t="s">
        <v>1085</v>
      </c>
      <c r="B132" s="43">
        <v>4.0</v>
      </c>
      <c r="C132" s="43">
        <v>9.0</v>
      </c>
      <c r="D132" s="43">
        <v>26.0</v>
      </c>
      <c r="E132" s="43">
        <v>5.0</v>
      </c>
      <c r="F132" s="43">
        <v>0.0</v>
      </c>
      <c r="G132" s="43">
        <v>2.0</v>
      </c>
      <c r="H132" s="43">
        <v>5.0</v>
      </c>
      <c r="I132" s="43">
        <v>51.0</v>
      </c>
    </row>
    <row r="133" ht="15.75" customHeight="1">
      <c r="A133" s="13" t="s">
        <v>1087</v>
      </c>
      <c r="B133" s="43">
        <v>0.0</v>
      </c>
      <c r="C133" s="43">
        <v>0.0</v>
      </c>
      <c r="D133" s="43">
        <v>0.0</v>
      </c>
      <c r="E133" s="43">
        <v>0.0</v>
      </c>
      <c r="F133" s="43">
        <v>0.0</v>
      </c>
      <c r="G133" s="43">
        <v>0.0</v>
      </c>
      <c r="H133" s="43">
        <v>1.0</v>
      </c>
      <c r="I133" s="43">
        <v>1.0</v>
      </c>
    </row>
    <row r="134" ht="15.75" customHeight="1">
      <c r="A134" s="13" t="s">
        <v>1088</v>
      </c>
      <c r="B134" s="43">
        <v>1.0</v>
      </c>
      <c r="C134" s="43">
        <v>0.0</v>
      </c>
      <c r="D134" s="43">
        <v>0.0</v>
      </c>
      <c r="E134" s="43">
        <v>0.0</v>
      </c>
      <c r="F134" s="43">
        <v>0.0</v>
      </c>
      <c r="G134" s="43">
        <v>0.0</v>
      </c>
      <c r="H134" s="43">
        <v>2.0</v>
      </c>
      <c r="I134" s="43">
        <v>3.0</v>
      </c>
    </row>
    <row r="135" ht="15.75" customHeight="1">
      <c r="A135" s="13" t="s">
        <v>1090</v>
      </c>
      <c r="B135" s="43">
        <v>2.0</v>
      </c>
      <c r="C135" s="43">
        <v>0.0</v>
      </c>
      <c r="D135" s="43">
        <v>1.0</v>
      </c>
      <c r="E135" s="43">
        <v>1.0</v>
      </c>
      <c r="F135" s="43">
        <v>0.0</v>
      </c>
      <c r="G135" s="43">
        <v>0.0</v>
      </c>
      <c r="H135" s="43">
        <v>2.0</v>
      </c>
      <c r="I135" s="43">
        <v>6.0</v>
      </c>
    </row>
    <row r="136" ht="15.75" customHeight="1">
      <c r="A136" s="13" t="s">
        <v>1091</v>
      </c>
      <c r="B136" s="43">
        <v>1.0</v>
      </c>
      <c r="C136" s="43">
        <v>0.0</v>
      </c>
      <c r="D136" s="43">
        <v>0.0</v>
      </c>
      <c r="E136" s="43">
        <v>0.0</v>
      </c>
      <c r="F136" s="43">
        <v>0.0</v>
      </c>
      <c r="G136" s="43">
        <v>0.0</v>
      </c>
      <c r="H136" s="43">
        <v>1.0</v>
      </c>
      <c r="I136" s="43">
        <v>2.0</v>
      </c>
    </row>
    <row r="137" ht="15.75" customHeight="1">
      <c r="A137" s="13" t="s">
        <v>1092</v>
      </c>
      <c r="B137" s="43">
        <v>3.0</v>
      </c>
      <c r="C137" s="43">
        <v>3.0</v>
      </c>
      <c r="D137" s="43">
        <v>2.0</v>
      </c>
      <c r="E137" s="43">
        <v>7.0</v>
      </c>
      <c r="F137" s="43">
        <v>5.0</v>
      </c>
      <c r="G137" s="43">
        <v>2.0</v>
      </c>
      <c r="H137" s="43">
        <v>4.0</v>
      </c>
      <c r="I137" s="43">
        <v>26.0</v>
      </c>
    </row>
    <row r="138" ht="15.75" customHeight="1">
      <c r="A138" s="13" t="s">
        <v>986</v>
      </c>
      <c r="B138" s="43">
        <v>86.0</v>
      </c>
      <c r="C138" s="43">
        <v>52.0</v>
      </c>
      <c r="D138" s="43">
        <v>91.0</v>
      </c>
      <c r="E138" s="43">
        <v>47.0</v>
      </c>
      <c r="F138" s="43">
        <v>31.0</v>
      </c>
      <c r="G138" s="43">
        <v>14.0</v>
      </c>
      <c r="H138" s="43">
        <v>26.0</v>
      </c>
      <c r="I138" s="43">
        <v>347.0</v>
      </c>
    </row>
    <row r="139" ht="15.75" customHeight="1">
      <c r="A139" s="42" t="s">
        <v>1002</v>
      </c>
    </row>
    <row r="140" ht="15.75" customHeight="1"/>
    <row r="141" ht="15.75" customHeight="1"/>
    <row r="142" ht="15.75" customHeight="1">
      <c r="A142" s="25" t="s">
        <v>2144</v>
      </c>
      <c r="B142" s="26"/>
      <c r="C142" s="26"/>
      <c r="D142" s="26"/>
    </row>
    <row r="143" ht="15.75" customHeight="1">
      <c r="A143" s="27" t="s">
        <v>2145</v>
      </c>
      <c r="B143" s="26"/>
      <c r="C143" s="26"/>
      <c r="D143" s="26"/>
    </row>
    <row r="144" ht="15.75" customHeight="1">
      <c r="A144" s="41" t="s">
        <v>2146</v>
      </c>
      <c r="B144" s="41" t="s">
        <v>2148</v>
      </c>
      <c r="C144" s="41" t="s">
        <v>2149</v>
      </c>
      <c r="D144" s="41" t="s">
        <v>2150</v>
      </c>
    </row>
    <row r="145" ht="15.75" customHeight="1">
      <c r="A145" s="13" t="s">
        <v>2151</v>
      </c>
      <c r="B145" s="13" t="s">
        <v>2152</v>
      </c>
      <c r="C145" s="13" t="s">
        <v>2153</v>
      </c>
      <c r="D145" s="13" t="s">
        <v>2155</v>
      </c>
    </row>
    <row r="146" ht="15.75" customHeight="1">
      <c r="A146" s="42" t="s">
        <v>1004</v>
      </c>
    </row>
    <row r="147" ht="15.75" customHeight="1"/>
    <row r="148" ht="15.75" customHeight="1"/>
    <row r="149" ht="15.75" customHeight="1">
      <c r="A149" s="25" t="s">
        <v>2156</v>
      </c>
      <c r="B149" s="26"/>
      <c r="C149" s="26"/>
      <c r="D149" s="26"/>
    </row>
    <row r="150" ht="15.75" customHeight="1">
      <c r="A150" s="27" t="s">
        <v>2158</v>
      </c>
      <c r="B150" s="26"/>
      <c r="C150" s="26"/>
      <c r="D150" s="26"/>
    </row>
    <row r="151" ht="15.75" customHeight="1">
      <c r="A151" s="41" t="s">
        <v>2161</v>
      </c>
      <c r="B151" s="41" t="s">
        <v>2163</v>
      </c>
      <c r="C151" s="41" t="s">
        <v>2164</v>
      </c>
      <c r="D151" s="41" t="s">
        <v>96</v>
      </c>
    </row>
    <row r="152" ht="15.75" customHeight="1">
      <c r="A152" s="13" t="s">
        <v>2167</v>
      </c>
      <c r="B152" s="43">
        <v>3.9064932E8</v>
      </c>
      <c r="C152" s="13" t="s">
        <v>2169</v>
      </c>
      <c r="D152" s="13" t="s">
        <v>2171</v>
      </c>
    </row>
    <row r="153" ht="15.75" customHeight="1">
      <c r="A153" s="13" t="s">
        <v>2172</v>
      </c>
      <c r="B153" s="43">
        <v>4.4492624E8</v>
      </c>
      <c r="C153" s="13" t="s">
        <v>2174</v>
      </c>
      <c r="D153" s="13" t="s">
        <v>2176</v>
      </c>
    </row>
    <row r="154" ht="15.75" customHeight="1">
      <c r="A154" s="13" t="s">
        <v>2177</v>
      </c>
      <c r="B154" s="43">
        <v>3.0085206E8</v>
      </c>
      <c r="C154" s="13" t="s">
        <v>2180</v>
      </c>
      <c r="D154" s="13" t="s">
        <v>2181</v>
      </c>
    </row>
    <row r="155" ht="15.75" customHeight="1">
      <c r="A155" s="13" t="s">
        <v>2183</v>
      </c>
      <c r="B155" s="43">
        <v>2.1899706E8</v>
      </c>
      <c r="C155" s="13" t="s">
        <v>2185</v>
      </c>
      <c r="D155" s="13" t="s">
        <v>2186</v>
      </c>
    </row>
    <row r="156" ht="15.75" customHeight="1">
      <c r="A156" s="13" t="s">
        <v>2188</v>
      </c>
      <c r="B156" s="13" t="s">
        <v>2150</v>
      </c>
      <c r="C156" s="13" t="s">
        <v>2189</v>
      </c>
      <c r="D156" s="13" t="s">
        <v>2190</v>
      </c>
    </row>
    <row r="157" ht="15.75" customHeight="1">
      <c r="A157" s="42" t="s">
        <v>1008</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12" width="26.0"/>
    <col customWidth="1" min="13" max="26" width="8.71"/>
  </cols>
  <sheetData>
    <row r="1">
      <c r="A1" s="12" t="s">
        <v>2088</v>
      </c>
    </row>
    <row r="2">
      <c r="A2" s="24" t="s">
        <v>1924</v>
      </c>
    </row>
    <row r="4">
      <c r="A4" s="25" t="s">
        <v>1058</v>
      </c>
      <c r="B4" s="26"/>
      <c r="C4" s="26"/>
      <c r="D4" s="26"/>
      <c r="E4" s="26"/>
      <c r="F4" s="26"/>
      <c r="G4" s="26"/>
      <c r="H4" s="26"/>
    </row>
    <row r="5">
      <c r="A5" s="27" t="s">
        <v>1060</v>
      </c>
      <c r="B5" s="26"/>
      <c r="C5" s="26"/>
      <c r="D5" s="26"/>
      <c r="E5" s="26"/>
      <c r="F5" s="26"/>
      <c r="G5" s="26"/>
      <c r="H5" s="26"/>
    </row>
    <row r="6">
      <c r="A6" s="41" t="s">
        <v>547</v>
      </c>
      <c r="B6" s="41" t="s">
        <v>477</v>
      </c>
      <c r="C6" s="41" t="s">
        <v>1061</v>
      </c>
      <c r="D6" s="41" t="s">
        <v>1062</v>
      </c>
      <c r="E6" s="41" t="s">
        <v>1063</v>
      </c>
      <c r="F6" s="41" t="s">
        <v>1064</v>
      </c>
      <c r="G6" s="41" t="s">
        <v>1063</v>
      </c>
      <c r="H6" s="41" t="s">
        <v>1066</v>
      </c>
    </row>
    <row r="7">
      <c r="A7" s="13" t="s">
        <v>526</v>
      </c>
      <c r="B7" s="43">
        <v>11.0</v>
      </c>
      <c r="C7" s="43">
        <v>7.0</v>
      </c>
      <c r="D7" s="43">
        <v>1022.0</v>
      </c>
      <c r="E7" s="43">
        <v>0.75</v>
      </c>
      <c r="F7" s="43">
        <v>1133.0</v>
      </c>
      <c r="G7" s="43">
        <v>0.83</v>
      </c>
      <c r="H7" s="13" t="s">
        <v>1071</v>
      </c>
    </row>
    <row r="8">
      <c r="A8" s="13" t="s">
        <v>622</v>
      </c>
      <c r="B8" s="43">
        <v>4.0</v>
      </c>
      <c r="C8" s="43">
        <v>2.0</v>
      </c>
      <c r="D8" s="43">
        <v>360.0</v>
      </c>
      <c r="E8" s="43">
        <v>0.49</v>
      </c>
      <c r="F8" s="43">
        <v>406.0</v>
      </c>
      <c r="G8" s="43">
        <v>0.55</v>
      </c>
      <c r="H8" s="13" t="s">
        <v>1074</v>
      </c>
    </row>
    <row r="9">
      <c r="A9" s="13" t="s">
        <v>644</v>
      </c>
      <c r="B9" s="43">
        <v>6.0</v>
      </c>
      <c r="C9" s="43">
        <v>6.0</v>
      </c>
      <c r="D9" s="43">
        <v>648.0</v>
      </c>
      <c r="E9" s="43">
        <v>0.8</v>
      </c>
      <c r="F9" s="43">
        <v>784.0</v>
      </c>
      <c r="G9" s="43">
        <v>0.96</v>
      </c>
      <c r="H9" s="13" t="s">
        <v>1078</v>
      </c>
    </row>
    <row r="10">
      <c r="A10" s="13" t="s">
        <v>668</v>
      </c>
      <c r="B10" s="43">
        <v>0.0</v>
      </c>
      <c r="C10" s="43">
        <v>0.0</v>
      </c>
      <c r="D10" s="43">
        <v>0.0</v>
      </c>
      <c r="E10" s="43">
        <v>0.0</v>
      </c>
      <c r="F10" s="43">
        <v>4.0</v>
      </c>
      <c r="G10" s="43">
        <v>0.02</v>
      </c>
      <c r="H10" s="13" t="s">
        <v>1083</v>
      </c>
    </row>
    <row r="11">
      <c r="A11" s="13" t="s">
        <v>696</v>
      </c>
      <c r="B11" s="43">
        <v>21.0</v>
      </c>
      <c r="C11" s="43">
        <v>15.0</v>
      </c>
      <c r="D11" s="43">
        <v>2030.0</v>
      </c>
      <c r="E11" s="43">
        <v>0.65</v>
      </c>
      <c r="F11" s="43">
        <v>2327.0</v>
      </c>
      <c r="G11" s="43">
        <v>0.74</v>
      </c>
      <c r="H11" s="13" t="s">
        <v>1086</v>
      </c>
    </row>
    <row r="14">
      <c r="A14" s="25" t="s">
        <v>2090</v>
      </c>
      <c r="B14" s="26"/>
      <c r="C14" s="26"/>
      <c r="D14" s="26"/>
      <c r="E14" s="26"/>
    </row>
    <row r="15">
      <c r="A15" s="27" t="s">
        <v>2091</v>
      </c>
      <c r="B15" s="26"/>
      <c r="C15" s="26"/>
      <c r="D15" s="26"/>
      <c r="E15" s="26"/>
    </row>
    <row r="16">
      <c r="A16" s="41" t="s">
        <v>547</v>
      </c>
      <c r="B16" s="41" t="s">
        <v>2092</v>
      </c>
      <c r="C16" s="41" t="s">
        <v>2093</v>
      </c>
      <c r="D16" s="41" t="s">
        <v>2094</v>
      </c>
      <c r="E16" s="41" t="s">
        <v>2095</v>
      </c>
    </row>
    <row r="17">
      <c r="A17" s="13" t="s">
        <v>526</v>
      </c>
      <c r="B17" s="13" t="s">
        <v>2096</v>
      </c>
      <c r="C17" s="43">
        <v>0.0</v>
      </c>
      <c r="D17" s="13" t="s">
        <v>2097</v>
      </c>
      <c r="E17" s="13" t="s">
        <v>2098</v>
      </c>
    </row>
    <row r="18">
      <c r="A18" s="13" t="s">
        <v>622</v>
      </c>
      <c r="B18" s="43">
        <v>12.0</v>
      </c>
      <c r="C18" s="43">
        <v>0.0</v>
      </c>
      <c r="D18" s="13" t="s">
        <v>2099</v>
      </c>
      <c r="E18" s="13" t="s">
        <v>2100</v>
      </c>
    </row>
    <row r="19">
      <c r="A19" s="13" t="s">
        <v>644</v>
      </c>
      <c r="B19" s="13" t="s">
        <v>2101</v>
      </c>
      <c r="C19" s="43">
        <v>0.0</v>
      </c>
      <c r="D19" s="13" t="s">
        <v>2103</v>
      </c>
      <c r="E19" s="13" t="s">
        <v>2104</v>
      </c>
    </row>
    <row r="20">
      <c r="A20" s="13" t="s">
        <v>668</v>
      </c>
      <c r="B20" s="43">
        <v>8.0</v>
      </c>
      <c r="C20" s="43">
        <v>0.0</v>
      </c>
      <c r="D20" s="13" t="s">
        <v>2105</v>
      </c>
      <c r="E20" s="13" t="s">
        <v>2106</v>
      </c>
    </row>
    <row r="21" ht="15.75" customHeight="1">
      <c r="A21" s="13" t="s">
        <v>696</v>
      </c>
      <c r="B21" s="43">
        <v>57.0</v>
      </c>
      <c r="C21" s="43">
        <v>0.0</v>
      </c>
      <c r="D21" s="13" t="s">
        <v>2108</v>
      </c>
      <c r="E21" s="13" t="s">
        <v>2109</v>
      </c>
    </row>
    <row r="22" ht="15.75" customHeight="1"/>
    <row r="23" ht="15.75" customHeight="1"/>
    <row r="24" ht="15.75" customHeight="1">
      <c r="A24" s="25" t="s">
        <v>1263</v>
      </c>
      <c r="B24" s="26"/>
      <c r="C24" s="26"/>
      <c r="D24" s="26"/>
      <c r="E24" s="26"/>
      <c r="F24" s="26"/>
      <c r="G24" s="26"/>
    </row>
    <row r="25" ht="15.75" customHeight="1">
      <c r="A25" s="27" t="s">
        <v>2110</v>
      </c>
      <c r="B25" s="26"/>
      <c r="C25" s="26"/>
      <c r="D25" s="26"/>
      <c r="E25" s="26"/>
      <c r="F25" s="26"/>
      <c r="G25" s="26"/>
    </row>
    <row r="26" ht="15.75" customHeight="1">
      <c r="A26" s="41" t="s">
        <v>2112</v>
      </c>
      <c r="B26" s="41"/>
      <c r="C26" s="41" t="s">
        <v>2113</v>
      </c>
      <c r="D26" s="41"/>
      <c r="E26" s="41" t="s">
        <v>2114</v>
      </c>
      <c r="F26" s="41"/>
      <c r="G26" s="41" t="s">
        <v>2115</v>
      </c>
    </row>
    <row r="27" ht="15.75" customHeight="1"/>
    <row r="28" ht="15.75" customHeight="1"/>
    <row r="29" ht="15.75" customHeight="1">
      <c r="A29" s="25" t="s">
        <v>2117</v>
      </c>
      <c r="B29" s="26"/>
      <c r="C29" s="26"/>
      <c r="D29" s="26"/>
      <c r="E29" s="26"/>
      <c r="F29" s="26"/>
      <c r="G29" s="26"/>
    </row>
    <row r="30" ht="15.75" customHeight="1">
      <c r="A30" s="27" t="s">
        <v>2118</v>
      </c>
      <c r="B30" s="26"/>
      <c r="C30" s="26"/>
      <c r="D30" s="26"/>
      <c r="E30" s="26"/>
      <c r="F30" s="26"/>
      <c r="G30" s="26"/>
    </row>
    <row r="31" ht="15.75" customHeight="1">
      <c r="A31" s="41" t="s">
        <v>2120</v>
      </c>
      <c r="B31" s="41"/>
      <c r="C31" s="41" t="s">
        <v>2121</v>
      </c>
      <c r="D31" s="41"/>
      <c r="E31" s="41" t="s">
        <v>2122</v>
      </c>
      <c r="F31" s="41"/>
      <c r="G31" s="41" t="s">
        <v>2123</v>
      </c>
    </row>
    <row r="32" ht="15.75" customHeight="1">
      <c r="A32" s="42" t="s">
        <v>448</v>
      </c>
    </row>
    <row r="33" ht="15.75" customHeight="1"/>
    <row r="34" ht="15.75" customHeight="1"/>
    <row r="35" ht="15.75" customHeight="1">
      <c r="A35" s="25" t="s">
        <v>1095</v>
      </c>
      <c r="B35" s="26"/>
      <c r="C35" s="26"/>
      <c r="D35" s="26"/>
      <c r="E35" s="26"/>
      <c r="F35" s="26"/>
    </row>
    <row r="36" ht="15.75" customHeight="1">
      <c r="A36" s="27" t="s">
        <v>1096</v>
      </c>
      <c r="B36" s="26"/>
      <c r="C36" s="26"/>
      <c r="D36" s="26"/>
      <c r="E36" s="26"/>
      <c r="F36" s="26"/>
    </row>
    <row r="37" ht="15.75" customHeight="1">
      <c r="A37" s="41" t="s">
        <v>1097</v>
      </c>
      <c r="B37" s="41" t="s">
        <v>1098</v>
      </c>
      <c r="C37" s="41" t="s">
        <v>1099</v>
      </c>
      <c r="D37" s="41" t="s">
        <v>1100</v>
      </c>
      <c r="E37" s="41" t="s">
        <v>1101</v>
      </c>
      <c r="F37" s="41" t="s">
        <v>1102</v>
      </c>
    </row>
    <row r="38" ht="15.75" customHeight="1">
      <c r="A38" s="13" t="s">
        <v>1103</v>
      </c>
      <c r="B38" s="13" t="s">
        <v>1104</v>
      </c>
      <c r="C38" s="13" t="s">
        <v>527</v>
      </c>
      <c r="D38" s="13" t="s">
        <v>1106</v>
      </c>
      <c r="E38" s="43">
        <v>438.0</v>
      </c>
      <c r="F38" s="13" t="s">
        <v>1108</v>
      </c>
    </row>
    <row r="39" ht="15.75" customHeight="1">
      <c r="A39" s="13" t="s">
        <v>1109</v>
      </c>
      <c r="B39" s="13" t="s">
        <v>1104</v>
      </c>
      <c r="C39" s="13" t="s">
        <v>648</v>
      </c>
      <c r="D39" s="13" t="s">
        <v>1110</v>
      </c>
      <c r="E39" s="43">
        <v>150.0</v>
      </c>
      <c r="F39" s="13" t="s">
        <v>1108</v>
      </c>
    </row>
    <row r="40" ht="15.75" customHeight="1">
      <c r="A40" s="13" t="s">
        <v>1111</v>
      </c>
      <c r="B40" s="13" t="s">
        <v>1104</v>
      </c>
      <c r="C40" s="13" t="s">
        <v>908</v>
      </c>
      <c r="D40" s="13" t="s">
        <v>1110</v>
      </c>
      <c r="E40" s="43">
        <v>100.0</v>
      </c>
      <c r="F40" s="13" t="s">
        <v>1113</v>
      </c>
    </row>
    <row r="41" ht="15.75" customHeight="1">
      <c r="A41" s="13" t="s">
        <v>1115</v>
      </c>
      <c r="B41" s="13" t="s">
        <v>1116</v>
      </c>
      <c r="C41" s="13" t="s">
        <v>527</v>
      </c>
      <c r="D41" s="13" t="s">
        <v>1110</v>
      </c>
      <c r="E41" s="43">
        <v>50.0</v>
      </c>
      <c r="F41" s="13" t="s">
        <v>1113</v>
      </c>
    </row>
    <row r="42" ht="15.75" customHeight="1">
      <c r="A42" s="13" t="s">
        <v>1117</v>
      </c>
      <c r="B42" s="13" t="s">
        <v>1116</v>
      </c>
      <c r="C42" s="13" t="s">
        <v>908</v>
      </c>
      <c r="D42" s="13" t="s">
        <v>1110</v>
      </c>
      <c r="E42" s="43">
        <v>50.0</v>
      </c>
      <c r="F42" s="13" t="s">
        <v>1113</v>
      </c>
    </row>
    <row r="43" ht="15.75" customHeight="1">
      <c r="A43" s="13" t="s">
        <v>1119</v>
      </c>
      <c r="B43" s="13" t="s">
        <v>1116</v>
      </c>
      <c r="C43" s="13" t="s">
        <v>527</v>
      </c>
      <c r="D43" s="13" t="s">
        <v>1110</v>
      </c>
      <c r="E43" s="43">
        <v>30.0</v>
      </c>
      <c r="F43" s="13" t="s">
        <v>1113</v>
      </c>
    </row>
    <row r="44" ht="15.75" customHeight="1">
      <c r="A44" s="13" t="s">
        <v>1123</v>
      </c>
      <c r="B44" s="13" t="s">
        <v>1116</v>
      </c>
      <c r="C44" s="13" t="s">
        <v>527</v>
      </c>
      <c r="D44" s="13" t="s">
        <v>1110</v>
      </c>
      <c r="E44" s="43">
        <v>30.0</v>
      </c>
      <c r="F44" s="13" t="s">
        <v>1113</v>
      </c>
    </row>
    <row r="45" ht="15.75" customHeight="1">
      <c r="A45" s="13" t="s">
        <v>1125</v>
      </c>
      <c r="B45" s="13" t="s">
        <v>1104</v>
      </c>
      <c r="C45" s="13" t="s">
        <v>823</v>
      </c>
      <c r="D45" s="13" t="s">
        <v>1110</v>
      </c>
      <c r="E45" s="43">
        <v>25.0</v>
      </c>
      <c r="F45" s="13" t="s">
        <v>1113</v>
      </c>
    </row>
    <row r="46" ht="15.75" customHeight="1">
      <c r="A46" s="13" t="s">
        <v>1128</v>
      </c>
      <c r="B46" s="13" t="s">
        <v>1104</v>
      </c>
      <c r="C46" s="13" t="s">
        <v>1080</v>
      </c>
      <c r="D46" s="13" t="s">
        <v>1110</v>
      </c>
      <c r="E46" s="43">
        <v>25.0</v>
      </c>
      <c r="F46" s="13" t="s">
        <v>1113</v>
      </c>
    </row>
    <row r="47" ht="15.75" customHeight="1">
      <c r="A47" s="13" t="s">
        <v>1131</v>
      </c>
      <c r="B47" s="13" t="s">
        <v>1104</v>
      </c>
      <c r="C47" s="13" t="s">
        <v>694</v>
      </c>
      <c r="D47" s="13" t="s">
        <v>1110</v>
      </c>
      <c r="E47" s="43">
        <v>25.0</v>
      </c>
      <c r="F47" s="13" t="s">
        <v>1113</v>
      </c>
    </row>
    <row r="48" ht="15.75" customHeight="1">
      <c r="A48" s="13" t="s">
        <v>1133</v>
      </c>
      <c r="B48" s="13" t="s">
        <v>1116</v>
      </c>
      <c r="C48" s="13" t="s">
        <v>770</v>
      </c>
      <c r="D48" s="13" t="s">
        <v>1110</v>
      </c>
      <c r="E48" s="43">
        <v>12.0</v>
      </c>
      <c r="F48" s="13" t="s">
        <v>1113</v>
      </c>
    </row>
    <row r="49" ht="15.75" customHeight="1">
      <c r="A49" s="13" t="s">
        <v>1134</v>
      </c>
      <c r="B49" s="13" t="s">
        <v>1135</v>
      </c>
      <c r="C49" s="13" t="s">
        <v>1136</v>
      </c>
      <c r="D49" s="13" t="s">
        <v>1137</v>
      </c>
      <c r="E49" s="43">
        <v>935.0</v>
      </c>
      <c r="F49" s="13" t="s">
        <v>344</v>
      </c>
    </row>
    <row r="50" ht="15.75" customHeight="1"/>
    <row r="51" ht="15.75" customHeight="1"/>
    <row r="52" ht="15.75" customHeight="1">
      <c r="A52" s="25" t="s">
        <v>1301</v>
      </c>
      <c r="B52" s="26"/>
      <c r="C52" s="26"/>
      <c r="D52" s="26"/>
      <c r="E52" s="26"/>
      <c r="F52" s="26"/>
    </row>
    <row r="53" ht="15.75" customHeight="1">
      <c r="A53" s="27" t="s">
        <v>1305</v>
      </c>
      <c r="B53" s="26"/>
      <c r="C53" s="26"/>
      <c r="D53" s="26"/>
      <c r="E53" s="26"/>
      <c r="F53" s="26"/>
    </row>
    <row r="54" ht="15.75" customHeight="1">
      <c r="A54" s="41" t="s">
        <v>1257</v>
      </c>
      <c r="B54" s="41" t="s">
        <v>1258</v>
      </c>
      <c r="C54" s="41" t="s">
        <v>1260</v>
      </c>
      <c r="D54" s="41" t="s">
        <v>1261</v>
      </c>
      <c r="E54" s="41" t="s">
        <v>1313</v>
      </c>
      <c r="F54" s="41" t="s">
        <v>1063</v>
      </c>
    </row>
    <row r="55" ht="15.75" customHeight="1">
      <c r="A55" s="13" t="s">
        <v>1097</v>
      </c>
      <c r="B55" s="43">
        <v>11.0</v>
      </c>
      <c r="C55" s="43">
        <v>763.0</v>
      </c>
      <c r="D55" s="43">
        <v>172.0</v>
      </c>
      <c r="E55" s="43">
        <v>935.0</v>
      </c>
      <c r="F55" s="43">
        <v>0.68</v>
      </c>
    </row>
    <row r="56" ht="15.75" customHeight="1">
      <c r="A56" s="13" t="s">
        <v>1170</v>
      </c>
      <c r="B56" s="43">
        <v>7.0</v>
      </c>
      <c r="C56" s="43">
        <v>25.0</v>
      </c>
      <c r="D56" s="43">
        <v>62.0</v>
      </c>
      <c r="E56" s="43">
        <v>87.0</v>
      </c>
      <c r="F56" s="13"/>
    </row>
    <row r="57" ht="15.75" customHeight="1">
      <c r="A57" s="13" t="s">
        <v>1272</v>
      </c>
      <c r="B57" s="43">
        <v>18.0</v>
      </c>
      <c r="C57" s="43">
        <v>788.0</v>
      </c>
      <c r="D57" s="43">
        <v>234.0</v>
      </c>
      <c r="E57" s="43">
        <v>1022.0</v>
      </c>
      <c r="F57" s="43">
        <v>0.75</v>
      </c>
    </row>
    <row r="58" ht="15.75" customHeight="1">
      <c r="A58" s="13" t="s">
        <v>1276</v>
      </c>
      <c r="B58" s="43">
        <v>43.0</v>
      </c>
      <c r="C58" s="43">
        <v>74.0</v>
      </c>
      <c r="D58" s="43">
        <v>29.0</v>
      </c>
      <c r="E58" s="43">
        <v>103.0</v>
      </c>
      <c r="F58" s="13"/>
    </row>
    <row r="59" ht="15.75" customHeight="1">
      <c r="A59" s="13" t="s">
        <v>1358</v>
      </c>
      <c r="B59" s="13" t="s">
        <v>1359</v>
      </c>
      <c r="C59" s="43">
        <v>8.0</v>
      </c>
      <c r="D59" s="43">
        <v>0.0</v>
      </c>
      <c r="E59" s="43">
        <v>8.0</v>
      </c>
      <c r="F59" s="13"/>
    </row>
    <row r="60" ht="15.75" customHeight="1">
      <c r="A60" s="13" t="s">
        <v>1064</v>
      </c>
      <c r="B60" s="43">
        <v>65.0</v>
      </c>
      <c r="C60" s="43">
        <v>870.0</v>
      </c>
      <c r="D60" s="43">
        <v>263.0</v>
      </c>
      <c r="E60" s="43">
        <v>1133.0</v>
      </c>
      <c r="F60" s="43">
        <v>0.83</v>
      </c>
    </row>
    <row r="61" ht="15.75" customHeight="1">
      <c r="A61" s="13" t="s">
        <v>1368</v>
      </c>
      <c r="B61" s="13"/>
      <c r="C61" s="43">
        <v>76.8</v>
      </c>
      <c r="D61" s="43">
        <v>23.2</v>
      </c>
      <c r="E61" s="43">
        <v>100.0</v>
      </c>
      <c r="F61" s="13"/>
    </row>
    <row r="62" ht="15.75" customHeight="1">
      <c r="A62" s="42" t="s">
        <v>525</v>
      </c>
    </row>
    <row r="63" ht="15.75" customHeight="1"/>
    <row r="64" ht="15.75" customHeight="1"/>
    <row r="65" ht="15.75" customHeight="1">
      <c r="A65" s="25" t="s">
        <v>1141</v>
      </c>
      <c r="B65" s="26"/>
      <c r="C65" s="26"/>
      <c r="D65" s="26"/>
      <c r="E65" s="26"/>
      <c r="F65" s="26"/>
    </row>
    <row r="66" ht="15.75" customHeight="1">
      <c r="A66" s="27" t="s">
        <v>1143</v>
      </c>
      <c r="B66" s="26"/>
      <c r="C66" s="26"/>
      <c r="D66" s="26"/>
      <c r="E66" s="26"/>
      <c r="F66" s="26"/>
    </row>
    <row r="67" ht="15.75" customHeight="1">
      <c r="A67" s="41" t="s">
        <v>1146</v>
      </c>
      <c r="B67" s="41" t="s">
        <v>1099</v>
      </c>
      <c r="C67" s="41" t="s">
        <v>1098</v>
      </c>
      <c r="D67" s="41" t="s">
        <v>1147</v>
      </c>
      <c r="E67" s="41" t="s">
        <v>1101</v>
      </c>
      <c r="F67" s="41" t="s">
        <v>1151</v>
      </c>
    </row>
    <row r="68" ht="15.75" customHeight="1">
      <c r="A68" s="13" t="s">
        <v>1152</v>
      </c>
      <c r="B68" s="13" t="s">
        <v>1153</v>
      </c>
      <c r="C68" s="13" t="s">
        <v>1154</v>
      </c>
      <c r="D68" s="13" t="s">
        <v>1155</v>
      </c>
      <c r="E68" s="43">
        <v>200.0</v>
      </c>
      <c r="F68" s="13" t="s">
        <v>1156</v>
      </c>
    </row>
    <row r="69" ht="15.75" customHeight="1">
      <c r="A69" s="13" t="s">
        <v>1157</v>
      </c>
      <c r="B69" s="13" t="s">
        <v>1159</v>
      </c>
      <c r="C69" s="13" t="s">
        <v>1160</v>
      </c>
      <c r="D69" s="13" t="s">
        <v>1110</v>
      </c>
      <c r="E69" s="43">
        <v>50.0</v>
      </c>
      <c r="F69" s="13" t="s">
        <v>1113</v>
      </c>
    </row>
    <row r="70" ht="15.75" customHeight="1">
      <c r="A70" s="13" t="s">
        <v>1162</v>
      </c>
      <c r="B70" s="13" t="s">
        <v>1159</v>
      </c>
      <c r="C70" s="13" t="s">
        <v>1163</v>
      </c>
      <c r="D70" s="13" t="s">
        <v>1110</v>
      </c>
      <c r="E70" s="43">
        <v>50.0</v>
      </c>
      <c r="F70" s="13" t="s">
        <v>1113</v>
      </c>
    </row>
    <row r="71" ht="15.75" customHeight="1">
      <c r="A71" s="13" t="s">
        <v>1164</v>
      </c>
      <c r="B71" s="13" t="s">
        <v>1165</v>
      </c>
      <c r="C71" s="13" t="s">
        <v>1163</v>
      </c>
      <c r="D71" s="13" t="s">
        <v>1110</v>
      </c>
      <c r="E71" s="43">
        <v>25.0</v>
      </c>
      <c r="F71" s="13" t="s">
        <v>1113</v>
      </c>
    </row>
    <row r="72" ht="15.75" customHeight="1">
      <c r="A72" s="13" t="s">
        <v>1166</v>
      </c>
      <c r="B72" s="13" t="s">
        <v>1167</v>
      </c>
      <c r="C72" s="13" t="s">
        <v>1169</v>
      </c>
      <c r="D72" s="13" t="s">
        <v>1170</v>
      </c>
      <c r="E72" s="43">
        <v>25.0</v>
      </c>
      <c r="F72" s="13" t="s">
        <v>1113</v>
      </c>
    </row>
    <row r="73" ht="15.75" customHeight="1">
      <c r="A73" s="13" t="s">
        <v>1174</v>
      </c>
      <c r="B73" s="13" t="s">
        <v>1167</v>
      </c>
      <c r="C73" s="13" t="s">
        <v>1160</v>
      </c>
      <c r="D73" s="13" t="s">
        <v>1170</v>
      </c>
      <c r="E73" s="43">
        <v>10.0</v>
      </c>
      <c r="F73" s="13" t="s">
        <v>1113</v>
      </c>
    </row>
    <row r="74" ht="15.75" customHeight="1">
      <c r="A74" s="13" t="s">
        <v>1179</v>
      </c>
      <c r="B74" s="13"/>
      <c r="C74" s="13" t="s">
        <v>1181</v>
      </c>
      <c r="D74" s="13"/>
      <c r="E74" s="43">
        <v>360.0</v>
      </c>
      <c r="F74" s="13"/>
    </row>
    <row r="75" ht="15.75" customHeight="1">
      <c r="A75" s="13" t="s">
        <v>1185</v>
      </c>
      <c r="B75" s="13" t="s">
        <v>1187</v>
      </c>
      <c r="C75" s="13" t="s">
        <v>1154</v>
      </c>
      <c r="D75" s="13" t="s">
        <v>1106</v>
      </c>
      <c r="E75" s="43">
        <v>375.0</v>
      </c>
      <c r="F75" s="13" t="s">
        <v>1108</v>
      </c>
    </row>
    <row r="76" ht="15.75" customHeight="1">
      <c r="A76" s="13" t="s">
        <v>1188</v>
      </c>
      <c r="B76" s="13" t="s">
        <v>1187</v>
      </c>
      <c r="C76" s="13" t="s">
        <v>1116</v>
      </c>
      <c r="D76" s="13" t="s">
        <v>1155</v>
      </c>
      <c r="E76" s="43">
        <v>40.0</v>
      </c>
      <c r="F76" s="13" t="s">
        <v>1108</v>
      </c>
    </row>
    <row r="77" ht="15.75" customHeight="1">
      <c r="A77" s="13" t="s">
        <v>1189</v>
      </c>
      <c r="B77" s="13" t="s">
        <v>1187</v>
      </c>
      <c r="C77" s="13" t="s">
        <v>1116</v>
      </c>
      <c r="D77" s="13" t="s">
        <v>1110</v>
      </c>
      <c r="E77" s="43">
        <v>30.0</v>
      </c>
      <c r="F77" s="13" t="s">
        <v>1113</v>
      </c>
    </row>
    <row r="78" ht="15.75" customHeight="1">
      <c r="A78" s="13" t="s">
        <v>1190</v>
      </c>
      <c r="B78" s="13" t="s">
        <v>1187</v>
      </c>
      <c r="C78" s="13" t="s">
        <v>1116</v>
      </c>
      <c r="D78" s="13" t="s">
        <v>1110</v>
      </c>
      <c r="E78" s="43">
        <v>25.0</v>
      </c>
      <c r="F78" s="13" t="s">
        <v>1113</v>
      </c>
    </row>
    <row r="79" ht="15.75" customHeight="1">
      <c r="A79" s="13" t="s">
        <v>1191</v>
      </c>
      <c r="B79" s="13" t="s">
        <v>1187</v>
      </c>
      <c r="C79" s="13" t="s">
        <v>1116</v>
      </c>
      <c r="D79" s="13" t="s">
        <v>1110</v>
      </c>
      <c r="E79" s="43">
        <v>24.0</v>
      </c>
      <c r="F79" s="13" t="s">
        <v>1113</v>
      </c>
    </row>
    <row r="80" ht="15.75" customHeight="1">
      <c r="A80" s="13" t="s">
        <v>1193</v>
      </c>
      <c r="B80" s="13" t="s">
        <v>1187</v>
      </c>
      <c r="C80" s="13" t="s">
        <v>1116</v>
      </c>
      <c r="D80" s="13" t="s">
        <v>1170</v>
      </c>
      <c r="E80" s="43">
        <v>18.0</v>
      </c>
      <c r="F80" s="13" t="s">
        <v>1113</v>
      </c>
    </row>
    <row r="81" ht="15.75" customHeight="1">
      <c r="A81" s="13" t="s">
        <v>1194</v>
      </c>
      <c r="B81" s="13"/>
      <c r="C81" s="13" t="s">
        <v>1195</v>
      </c>
      <c r="D81" s="13"/>
      <c r="E81" s="43">
        <v>512.0</v>
      </c>
      <c r="F81" s="13"/>
    </row>
    <row r="82" ht="15.75" customHeight="1">
      <c r="A82" s="42" t="s">
        <v>765</v>
      </c>
    </row>
    <row r="83" ht="15.75" customHeight="1"/>
    <row r="84" ht="15.75" customHeight="1"/>
    <row r="85" ht="15.75" customHeight="1">
      <c r="A85" s="25" t="s">
        <v>2225</v>
      </c>
      <c r="B85" s="26"/>
      <c r="C85" s="26"/>
      <c r="D85" s="26"/>
      <c r="E85" s="26"/>
      <c r="F85" s="26"/>
      <c r="G85" s="26"/>
      <c r="H85" s="26"/>
      <c r="I85" s="26"/>
      <c r="J85" s="26"/>
      <c r="K85" s="26"/>
      <c r="L85" s="26"/>
    </row>
    <row r="86" ht="15.75" customHeight="1">
      <c r="A86" s="27" t="s">
        <v>2239</v>
      </c>
      <c r="B86" s="26"/>
      <c r="C86" s="26"/>
      <c r="D86" s="26"/>
      <c r="E86" s="26"/>
      <c r="F86" s="26"/>
      <c r="G86" s="26"/>
      <c r="H86" s="26"/>
      <c r="I86" s="26"/>
      <c r="J86" s="26"/>
      <c r="K86" s="26"/>
      <c r="L86" s="26"/>
    </row>
    <row r="87" ht="15.75" customHeight="1">
      <c r="A87" s="41" t="s">
        <v>2246</v>
      </c>
      <c r="B87" s="41"/>
      <c r="C87" s="41"/>
      <c r="D87" s="41"/>
      <c r="E87" s="41" t="s">
        <v>1761</v>
      </c>
      <c r="F87" s="41" t="s">
        <v>1763</v>
      </c>
      <c r="G87" s="41" t="s">
        <v>1763</v>
      </c>
      <c r="H87" s="41" t="s">
        <v>1761</v>
      </c>
      <c r="I87" s="41"/>
      <c r="J87" s="41"/>
      <c r="K87" s="41" t="s">
        <v>1761</v>
      </c>
      <c r="L87" s="44">
        <v>200.0</v>
      </c>
    </row>
    <row r="88" ht="15.75" customHeight="1">
      <c r="A88" s="13" t="s">
        <v>2255</v>
      </c>
      <c r="B88" s="13"/>
      <c r="C88" s="13"/>
      <c r="D88" s="13"/>
      <c r="E88" s="13" t="s">
        <v>1761</v>
      </c>
      <c r="F88" s="13" t="s">
        <v>1763</v>
      </c>
      <c r="G88" s="13" t="s">
        <v>1763</v>
      </c>
      <c r="H88" s="13" t="s">
        <v>1761</v>
      </c>
      <c r="I88" s="13"/>
      <c r="J88" s="13"/>
      <c r="K88" s="13" t="s">
        <v>1761</v>
      </c>
      <c r="L88" s="43">
        <v>50.0</v>
      </c>
    </row>
    <row r="89" ht="15.75" customHeight="1">
      <c r="A89" s="13" t="s">
        <v>1162</v>
      </c>
      <c r="B89" s="13"/>
      <c r="C89" s="13"/>
      <c r="D89" s="13"/>
      <c r="E89" s="13" t="s">
        <v>1761</v>
      </c>
      <c r="F89" s="13" t="s">
        <v>1763</v>
      </c>
      <c r="G89" s="13" t="s">
        <v>1763</v>
      </c>
      <c r="H89" s="13" t="s">
        <v>1761</v>
      </c>
      <c r="I89" s="13"/>
      <c r="J89" s="13"/>
      <c r="K89" s="13" t="s">
        <v>1761</v>
      </c>
      <c r="L89" s="43">
        <v>50.0</v>
      </c>
    </row>
    <row r="90" ht="15.75" customHeight="1">
      <c r="A90" s="13" t="s">
        <v>1164</v>
      </c>
      <c r="B90" s="13"/>
      <c r="C90" s="13"/>
      <c r="D90" s="13"/>
      <c r="E90" s="13" t="s">
        <v>1761</v>
      </c>
      <c r="F90" s="13" t="s">
        <v>1763</v>
      </c>
      <c r="G90" s="13" t="s">
        <v>1763</v>
      </c>
      <c r="H90" s="13" t="s">
        <v>1761</v>
      </c>
      <c r="I90" s="13"/>
      <c r="J90" s="13"/>
      <c r="K90" s="13" t="s">
        <v>1761</v>
      </c>
      <c r="L90" s="43">
        <v>25.0</v>
      </c>
    </row>
    <row r="91" ht="15.75" customHeight="1">
      <c r="A91" s="13" t="s">
        <v>2300</v>
      </c>
      <c r="B91" s="13"/>
      <c r="C91" s="13"/>
      <c r="D91" s="13"/>
      <c r="E91" s="13" t="s">
        <v>1761</v>
      </c>
      <c r="F91" s="13" t="s">
        <v>1763</v>
      </c>
      <c r="G91" s="13" t="s">
        <v>1763</v>
      </c>
      <c r="H91" s="13" t="s">
        <v>1761</v>
      </c>
      <c r="I91" s="13"/>
      <c r="J91" s="13"/>
      <c r="K91" s="13" t="s">
        <v>1761</v>
      </c>
      <c r="L91" s="43">
        <v>25.0</v>
      </c>
    </row>
    <row r="92" ht="15.75" customHeight="1">
      <c r="A92" s="13" t="s">
        <v>2312</v>
      </c>
      <c r="B92" s="13"/>
      <c r="C92" s="13"/>
      <c r="D92" s="13"/>
      <c r="E92" s="13" t="s">
        <v>1761</v>
      </c>
      <c r="F92" s="13" t="s">
        <v>1763</v>
      </c>
      <c r="G92" s="13" t="s">
        <v>1763</v>
      </c>
      <c r="H92" s="13" t="s">
        <v>1761</v>
      </c>
      <c r="I92" s="13"/>
      <c r="J92" s="13"/>
      <c r="K92" s="13" t="s">
        <v>1761</v>
      </c>
      <c r="L92" s="43">
        <v>10.0</v>
      </c>
    </row>
    <row r="93" ht="15.75" customHeight="1">
      <c r="A93" s="13" t="s">
        <v>2327</v>
      </c>
      <c r="B93" s="13"/>
      <c r="C93" s="13"/>
      <c r="D93" s="13"/>
      <c r="E93" s="13" t="s">
        <v>1761</v>
      </c>
      <c r="F93" s="13" t="s">
        <v>1763</v>
      </c>
      <c r="G93" s="13" t="s">
        <v>1763</v>
      </c>
      <c r="H93" s="13" t="s">
        <v>1761</v>
      </c>
      <c r="I93" s="13"/>
      <c r="J93" s="13"/>
      <c r="K93" s="13" t="s">
        <v>1761</v>
      </c>
      <c r="L93" s="43">
        <v>0.0</v>
      </c>
    </row>
    <row r="94" ht="15.75" customHeight="1">
      <c r="A94" s="42" t="s">
        <v>782</v>
      </c>
    </row>
    <row r="95" ht="15.75" customHeight="1"/>
    <row r="96" ht="15.75" customHeight="1"/>
    <row r="97" ht="15.75" customHeight="1">
      <c r="A97" s="25" t="s">
        <v>1197</v>
      </c>
      <c r="B97" s="26"/>
      <c r="C97" s="26"/>
      <c r="D97" s="26"/>
      <c r="E97" s="26"/>
      <c r="F97" s="26"/>
      <c r="G97" s="26"/>
    </row>
    <row r="98" ht="15.75" customHeight="1">
      <c r="A98" s="27" t="s">
        <v>1199</v>
      </c>
      <c r="B98" s="26"/>
      <c r="C98" s="26"/>
      <c r="D98" s="26"/>
      <c r="E98" s="26"/>
      <c r="F98" s="26"/>
      <c r="G98" s="26"/>
    </row>
    <row r="99" ht="15.75" customHeight="1">
      <c r="A99" s="41" t="s">
        <v>1146</v>
      </c>
      <c r="B99" s="41" t="s">
        <v>1200</v>
      </c>
      <c r="C99" s="41" t="s">
        <v>1099</v>
      </c>
      <c r="D99" s="41" t="s">
        <v>1098</v>
      </c>
      <c r="E99" s="41" t="s">
        <v>1147</v>
      </c>
      <c r="F99" s="41" t="s">
        <v>1101</v>
      </c>
      <c r="G99" s="41" t="s">
        <v>1151</v>
      </c>
    </row>
    <row r="100" ht="15.75" customHeight="1">
      <c r="A100" s="13" t="s">
        <v>1201</v>
      </c>
      <c r="B100" s="13" t="s">
        <v>1097</v>
      </c>
      <c r="C100" s="13" t="s">
        <v>1203</v>
      </c>
      <c r="D100" s="13" t="s">
        <v>1104</v>
      </c>
      <c r="E100" s="13" t="s">
        <v>1155</v>
      </c>
      <c r="F100" s="43">
        <v>299.0</v>
      </c>
      <c r="G100" s="13" t="s">
        <v>1204</v>
      </c>
    </row>
    <row r="101" ht="15.75" customHeight="1">
      <c r="A101" s="13" t="s">
        <v>1206</v>
      </c>
      <c r="B101" s="13" t="s">
        <v>1097</v>
      </c>
      <c r="C101" s="13" t="s">
        <v>1207</v>
      </c>
      <c r="D101" s="13" t="s">
        <v>1104</v>
      </c>
      <c r="E101" s="13" t="s">
        <v>1110</v>
      </c>
      <c r="F101" s="43">
        <v>100.0</v>
      </c>
      <c r="G101" s="13" t="s">
        <v>1113</v>
      </c>
    </row>
    <row r="102" ht="15.75" customHeight="1">
      <c r="A102" s="13" t="s">
        <v>1208</v>
      </c>
      <c r="B102" s="13" t="s">
        <v>1097</v>
      </c>
      <c r="C102" s="13" t="s">
        <v>1209</v>
      </c>
      <c r="D102" s="13" t="s">
        <v>1116</v>
      </c>
      <c r="E102" s="13" t="s">
        <v>1110</v>
      </c>
      <c r="F102" s="43">
        <v>70.0</v>
      </c>
      <c r="G102" s="13" t="s">
        <v>1113</v>
      </c>
    </row>
    <row r="103" ht="15.75" customHeight="1">
      <c r="A103" s="13" t="s">
        <v>1211</v>
      </c>
      <c r="B103" s="13" t="s">
        <v>1097</v>
      </c>
      <c r="C103" s="13" t="s">
        <v>1212</v>
      </c>
      <c r="D103" s="13" t="s">
        <v>1116</v>
      </c>
      <c r="E103" s="13" t="s">
        <v>1110</v>
      </c>
      <c r="F103" s="43">
        <v>25.0</v>
      </c>
      <c r="G103" s="13" t="s">
        <v>1204</v>
      </c>
    </row>
    <row r="104" ht="15.75" customHeight="1">
      <c r="A104" s="13" t="s">
        <v>1213</v>
      </c>
      <c r="B104" s="13" t="s">
        <v>1097</v>
      </c>
      <c r="C104" s="13" t="s">
        <v>1214</v>
      </c>
      <c r="D104" s="13" t="s">
        <v>1104</v>
      </c>
      <c r="E104" s="13" t="s">
        <v>1110</v>
      </c>
      <c r="F104" s="43">
        <v>25.0</v>
      </c>
      <c r="G104" s="13" t="s">
        <v>1113</v>
      </c>
    </row>
    <row r="105" ht="15.75" customHeight="1">
      <c r="A105" s="13" t="s">
        <v>1215</v>
      </c>
      <c r="B105" s="13" t="s">
        <v>1097</v>
      </c>
      <c r="C105" s="13" t="s">
        <v>1217</v>
      </c>
      <c r="D105" s="13" t="s">
        <v>1116</v>
      </c>
      <c r="E105" s="13" t="s">
        <v>1110</v>
      </c>
      <c r="F105" s="43">
        <v>23.0</v>
      </c>
      <c r="G105" s="13" t="s">
        <v>1113</v>
      </c>
    </row>
    <row r="106" ht="15.75" customHeight="1">
      <c r="A106" s="13" t="s">
        <v>1220</v>
      </c>
      <c r="B106" s="13" t="s">
        <v>1170</v>
      </c>
      <c r="C106" s="13" t="s">
        <v>1223</v>
      </c>
      <c r="D106" s="13" t="s">
        <v>1116</v>
      </c>
      <c r="E106" s="13" t="s">
        <v>344</v>
      </c>
      <c r="F106" s="43">
        <v>35.0</v>
      </c>
      <c r="G106" s="13" t="s">
        <v>1113</v>
      </c>
    </row>
    <row r="107" ht="15.75" customHeight="1">
      <c r="A107" s="13" t="s">
        <v>1225</v>
      </c>
      <c r="B107" s="13" t="s">
        <v>1170</v>
      </c>
      <c r="C107" s="13" t="s">
        <v>1207</v>
      </c>
      <c r="D107" s="13" t="s">
        <v>1116</v>
      </c>
      <c r="E107" s="13" t="s">
        <v>344</v>
      </c>
      <c r="F107" s="43">
        <v>25.0</v>
      </c>
      <c r="G107" s="13" t="s">
        <v>1113</v>
      </c>
    </row>
    <row r="108" ht="15.75" customHeight="1">
      <c r="A108" s="13" t="s">
        <v>1226</v>
      </c>
      <c r="B108" s="13" t="s">
        <v>1170</v>
      </c>
      <c r="C108" s="13" t="s">
        <v>1227</v>
      </c>
      <c r="D108" s="13" t="s">
        <v>1116</v>
      </c>
      <c r="E108" s="13" t="s">
        <v>344</v>
      </c>
      <c r="F108" s="43">
        <v>12.0</v>
      </c>
      <c r="G108" s="13" t="s">
        <v>1113</v>
      </c>
    </row>
    <row r="109" ht="15.75" customHeight="1">
      <c r="A109" s="13" t="s">
        <v>1228</v>
      </c>
      <c r="B109" s="13" t="s">
        <v>1170</v>
      </c>
      <c r="C109" s="13" t="s">
        <v>1207</v>
      </c>
      <c r="D109" s="13" t="s">
        <v>1116</v>
      </c>
      <c r="E109" s="13" t="s">
        <v>344</v>
      </c>
      <c r="F109" s="43">
        <v>12.0</v>
      </c>
      <c r="G109" s="13" t="s">
        <v>1113</v>
      </c>
    </row>
    <row r="110" ht="15.75" customHeight="1">
      <c r="A110" s="13" t="s">
        <v>1229</v>
      </c>
      <c r="B110" s="13" t="s">
        <v>1170</v>
      </c>
      <c r="C110" s="13" t="s">
        <v>1230</v>
      </c>
      <c r="D110" s="13" t="s">
        <v>1116</v>
      </c>
      <c r="E110" s="13" t="s">
        <v>344</v>
      </c>
      <c r="F110" s="43">
        <v>12.0</v>
      </c>
      <c r="G110" s="13" t="s">
        <v>1113</v>
      </c>
    </row>
    <row r="111" ht="15.75" customHeight="1">
      <c r="A111" s="13" t="s">
        <v>1234</v>
      </c>
      <c r="B111" s="13" t="s">
        <v>1170</v>
      </c>
      <c r="C111" s="13" t="s">
        <v>1235</v>
      </c>
      <c r="D111" s="13" t="s">
        <v>1116</v>
      </c>
      <c r="E111" s="13" t="s">
        <v>344</v>
      </c>
      <c r="F111" s="43">
        <v>10.0</v>
      </c>
      <c r="G111" s="13" t="s">
        <v>1113</v>
      </c>
    </row>
    <row r="112" ht="15.75" customHeight="1">
      <c r="A112" s="13" t="s">
        <v>1134</v>
      </c>
      <c r="B112" s="13" t="s">
        <v>1236</v>
      </c>
      <c r="C112" s="13" t="s">
        <v>1237</v>
      </c>
      <c r="D112" s="13" t="s">
        <v>1238</v>
      </c>
      <c r="E112" s="13" t="s">
        <v>1239</v>
      </c>
      <c r="F112" s="43">
        <v>648.0</v>
      </c>
      <c r="G112" s="13" t="s">
        <v>344</v>
      </c>
    </row>
    <row r="113" ht="15.75" customHeight="1">
      <c r="A113" s="42" t="s">
        <v>913</v>
      </c>
    </row>
    <row r="114" ht="15.75" customHeight="1"/>
    <row r="115" ht="15.75" customHeight="1"/>
    <row r="116" ht="15.75" customHeight="1">
      <c r="A116" s="25" t="s">
        <v>1252</v>
      </c>
      <c r="B116" s="26"/>
      <c r="C116" s="26"/>
      <c r="D116" s="26"/>
      <c r="E116" s="26"/>
      <c r="F116" s="26"/>
    </row>
    <row r="117" ht="15.75" customHeight="1">
      <c r="A117" s="27" t="s">
        <v>1254</v>
      </c>
      <c r="B117" s="26"/>
      <c r="C117" s="26"/>
      <c r="D117" s="26"/>
      <c r="E117" s="26"/>
      <c r="F117" s="26"/>
    </row>
    <row r="118" ht="15.75" customHeight="1">
      <c r="A118" s="41" t="s">
        <v>1257</v>
      </c>
      <c r="B118" s="41" t="s">
        <v>1258</v>
      </c>
      <c r="C118" s="41" t="s">
        <v>1260</v>
      </c>
      <c r="D118" s="41" t="s">
        <v>1261</v>
      </c>
      <c r="E118" s="41" t="s">
        <v>1134</v>
      </c>
      <c r="F118" s="41" t="s">
        <v>1063</v>
      </c>
    </row>
    <row r="119" ht="15.75" customHeight="1">
      <c r="A119" s="13" t="s">
        <v>1097</v>
      </c>
      <c r="B119" s="43">
        <v>6.0</v>
      </c>
      <c r="C119" s="43">
        <v>424.0</v>
      </c>
      <c r="D119" s="43">
        <v>118.0</v>
      </c>
      <c r="E119" s="43">
        <v>542.0</v>
      </c>
      <c r="F119" s="43">
        <v>0.67</v>
      </c>
    </row>
    <row r="120" ht="15.75" customHeight="1">
      <c r="A120" s="13" t="s">
        <v>1170</v>
      </c>
      <c r="B120" s="43">
        <v>6.0</v>
      </c>
      <c r="C120" s="43">
        <v>0.0</v>
      </c>
      <c r="D120" s="43">
        <v>106.0</v>
      </c>
      <c r="E120" s="43">
        <v>106.0</v>
      </c>
      <c r="F120" s="13"/>
    </row>
    <row r="121" ht="15.75" customHeight="1">
      <c r="A121" s="13" t="s">
        <v>1272</v>
      </c>
      <c r="B121" s="43">
        <v>12.0</v>
      </c>
      <c r="C121" s="43">
        <v>424.0</v>
      </c>
      <c r="D121" s="43">
        <v>224.0</v>
      </c>
      <c r="E121" s="43">
        <v>648.0</v>
      </c>
      <c r="F121" s="43">
        <v>0.8</v>
      </c>
    </row>
    <row r="122" ht="15.75" customHeight="1">
      <c r="A122" s="13" t="s">
        <v>1276</v>
      </c>
      <c r="B122" s="43">
        <v>57.0</v>
      </c>
      <c r="C122" s="43">
        <v>52.0</v>
      </c>
      <c r="D122" s="43">
        <v>82.0</v>
      </c>
      <c r="E122" s="43">
        <v>134.0</v>
      </c>
      <c r="F122" s="13"/>
    </row>
    <row r="123" ht="15.75" customHeight="1">
      <c r="A123" s="13" t="s">
        <v>1281</v>
      </c>
      <c r="B123" s="13" t="s">
        <v>1283</v>
      </c>
      <c r="C123" s="43">
        <v>2.0</v>
      </c>
      <c r="D123" s="43">
        <v>0.0</v>
      </c>
      <c r="E123" s="43">
        <v>2.0</v>
      </c>
      <c r="F123" s="13"/>
    </row>
    <row r="124" ht="15.75" customHeight="1">
      <c r="A124" s="13" t="s">
        <v>1064</v>
      </c>
      <c r="B124" s="43">
        <v>70.0</v>
      </c>
      <c r="C124" s="43">
        <v>478.0</v>
      </c>
      <c r="D124" s="43">
        <v>306.0</v>
      </c>
      <c r="E124" s="43">
        <v>784.0</v>
      </c>
      <c r="F124" s="43">
        <v>0.96</v>
      </c>
    </row>
    <row r="125" ht="15.75" customHeight="1">
      <c r="A125" s="13" t="s">
        <v>1294</v>
      </c>
      <c r="B125" s="13"/>
      <c r="C125" s="43">
        <v>61.0</v>
      </c>
      <c r="D125" s="43">
        <v>39.0</v>
      </c>
      <c r="E125" s="43">
        <v>100.0</v>
      </c>
      <c r="F125" s="13"/>
    </row>
    <row r="126" ht="15.75" customHeight="1">
      <c r="A126" s="42" t="s">
        <v>919</v>
      </c>
    </row>
    <row r="127" ht="15.75" customHeight="1"/>
    <row r="128" ht="15.75" customHeight="1"/>
    <row r="129" ht="15.75" customHeight="1">
      <c r="A129" s="25" t="s">
        <v>2418</v>
      </c>
      <c r="B129" s="26"/>
      <c r="C129" s="26"/>
      <c r="D129" s="26"/>
    </row>
    <row r="130" ht="15.75" customHeight="1">
      <c r="A130" s="27" t="s">
        <v>2420</v>
      </c>
      <c r="B130" s="26"/>
      <c r="C130" s="26"/>
      <c r="D130" s="26"/>
    </row>
    <row r="131" ht="15.75" customHeight="1">
      <c r="A131" s="41" t="s">
        <v>2426</v>
      </c>
      <c r="B131" s="41" t="s">
        <v>2261</v>
      </c>
      <c r="C131" s="41" t="s">
        <v>2430</v>
      </c>
    </row>
    <row r="132" ht="15.75" customHeight="1">
      <c r="A132" s="13" t="s">
        <v>2432</v>
      </c>
      <c r="B132" s="13" t="s">
        <v>2435</v>
      </c>
      <c r="C132" s="13" t="s">
        <v>2437</v>
      </c>
    </row>
    <row r="133" ht="15.75" customHeight="1">
      <c r="A133" s="13" t="s">
        <v>2440</v>
      </c>
      <c r="B133" s="43">
        <v>0.0</v>
      </c>
      <c r="C133" s="13" t="s">
        <v>2443</v>
      </c>
    </row>
    <row r="134" ht="15.75" customHeight="1">
      <c r="A134" s="13" t="s">
        <v>2446</v>
      </c>
      <c r="B134" s="13" t="s">
        <v>2449</v>
      </c>
      <c r="C134" s="13" t="s">
        <v>2452</v>
      </c>
    </row>
    <row r="135" ht="15.75" customHeight="1">
      <c r="A135" s="13" t="s">
        <v>2456</v>
      </c>
      <c r="B135" s="13" t="s">
        <v>2459</v>
      </c>
      <c r="C135" s="13" t="s">
        <v>2462</v>
      </c>
    </row>
    <row r="136" ht="15.75" customHeight="1">
      <c r="A136" s="13" t="s">
        <v>2466</v>
      </c>
      <c r="B136" s="13" t="s">
        <v>2469</v>
      </c>
      <c r="C136" s="13" t="s">
        <v>2472</v>
      </c>
    </row>
    <row r="137" ht="15.75" customHeight="1">
      <c r="A137" s="13" t="s">
        <v>2474</v>
      </c>
      <c r="B137" s="13" t="s">
        <v>2476</v>
      </c>
      <c r="C137" s="13" t="s">
        <v>2478</v>
      </c>
    </row>
    <row r="138" ht="15.75" customHeight="1">
      <c r="A138" s="13" t="s">
        <v>2481</v>
      </c>
      <c r="B138" s="13" t="s">
        <v>2484</v>
      </c>
      <c r="C138" s="13" t="s">
        <v>2486</v>
      </c>
    </row>
    <row r="139" ht="15.75" customHeight="1">
      <c r="A139" s="13" t="s">
        <v>2488</v>
      </c>
      <c r="B139" s="13" t="s">
        <v>2491</v>
      </c>
      <c r="C139" s="13" t="s">
        <v>2495</v>
      </c>
    </row>
    <row r="140" ht="15.75" customHeight="1">
      <c r="A140" s="42" t="s">
        <v>1011</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7" width="26.0"/>
    <col customWidth="1" min="8" max="26" width="8.71"/>
  </cols>
  <sheetData>
    <row r="1">
      <c r="A1" s="12" t="s">
        <v>2208</v>
      </c>
    </row>
    <row r="2">
      <c r="A2" s="24" t="s">
        <v>2209</v>
      </c>
    </row>
    <row r="4">
      <c r="A4" s="25" t="s">
        <v>2210</v>
      </c>
      <c r="B4" s="26"/>
      <c r="C4" s="26"/>
      <c r="D4" s="26"/>
      <c r="E4" s="26"/>
      <c r="F4" s="26"/>
    </row>
    <row r="5">
      <c r="A5" s="27" t="s">
        <v>2211</v>
      </c>
      <c r="B5" s="26"/>
      <c r="C5" s="26"/>
      <c r="D5" s="26"/>
      <c r="E5" s="26"/>
      <c r="F5" s="26"/>
    </row>
    <row r="6">
      <c r="A6" s="41" t="s">
        <v>2213</v>
      </c>
      <c r="B6" s="41" t="s">
        <v>526</v>
      </c>
      <c r="C6" s="41" t="s">
        <v>1015</v>
      </c>
      <c r="D6" s="41" t="s">
        <v>1016</v>
      </c>
      <c r="E6" s="41" t="s">
        <v>668</v>
      </c>
      <c r="F6" s="41" t="s">
        <v>1437</v>
      </c>
    </row>
    <row r="7">
      <c r="A7" s="13" t="s">
        <v>2214</v>
      </c>
      <c r="B7" s="43">
        <v>33.0</v>
      </c>
      <c r="C7" s="43">
        <v>11.0</v>
      </c>
      <c r="D7" s="43">
        <v>22.0</v>
      </c>
      <c r="E7" s="43">
        <v>2.0</v>
      </c>
      <c r="F7" s="43">
        <v>68.0</v>
      </c>
    </row>
    <row r="8">
      <c r="A8" s="13" t="s">
        <v>2215</v>
      </c>
      <c r="B8" s="43">
        <v>30.46</v>
      </c>
      <c r="C8" s="43">
        <v>34.09</v>
      </c>
      <c r="D8" s="43">
        <v>32.16</v>
      </c>
      <c r="E8" s="43">
        <v>11.25</v>
      </c>
      <c r="F8" s="13" t="s">
        <v>344</v>
      </c>
    </row>
    <row r="9">
      <c r="A9" s="13" t="s">
        <v>2216</v>
      </c>
      <c r="B9" s="43">
        <v>0.609</v>
      </c>
      <c r="C9" s="43">
        <v>0.682</v>
      </c>
      <c r="D9" s="43">
        <v>0.643</v>
      </c>
      <c r="E9" s="43">
        <v>0.225</v>
      </c>
      <c r="F9" s="13" t="s">
        <v>2217</v>
      </c>
    </row>
    <row r="10">
      <c r="A10" s="13" t="s">
        <v>2218</v>
      </c>
      <c r="B10" s="13" t="s">
        <v>2219</v>
      </c>
      <c r="C10" s="13" t="s">
        <v>2220</v>
      </c>
      <c r="D10" s="13" t="s">
        <v>2221</v>
      </c>
      <c r="E10" s="13" t="s">
        <v>2222</v>
      </c>
      <c r="F10" s="13" t="s">
        <v>2223</v>
      </c>
    </row>
    <row r="11">
      <c r="A11" s="13" t="s">
        <v>2224</v>
      </c>
      <c r="B11" s="13" t="s">
        <v>2226</v>
      </c>
      <c r="C11" s="13" t="s">
        <v>2227</v>
      </c>
      <c r="D11" s="13" t="s">
        <v>2228</v>
      </c>
      <c r="E11" s="13" t="s">
        <v>2229</v>
      </c>
      <c r="F11" s="13" t="s">
        <v>344</v>
      </c>
    </row>
    <row r="12">
      <c r="A12" s="13" t="s">
        <v>2230</v>
      </c>
      <c r="B12" s="13" t="s">
        <v>2231</v>
      </c>
      <c r="C12" s="13" t="s">
        <v>2232</v>
      </c>
      <c r="D12" s="13" t="s">
        <v>2233</v>
      </c>
      <c r="E12" s="13" t="s">
        <v>2229</v>
      </c>
      <c r="F12" s="13" t="s">
        <v>344</v>
      </c>
    </row>
    <row r="13">
      <c r="A13" s="13" t="s">
        <v>2234</v>
      </c>
      <c r="B13" s="13" t="s">
        <v>2235</v>
      </c>
      <c r="C13" s="13" t="s">
        <v>2236</v>
      </c>
      <c r="D13" s="13" t="s">
        <v>2237</v>
      </c>
      <c r="E13" s="13" t="s">
        <v>2229</v>
      </c>
      <c r="F13" s="13" t="s">
        <v>344</v>
      </c>
    </row>
    <row r="14">
      <c r="A14" s="13" t="s">
        <v>2238</v>
      </c>
      <c r="B14" s="43">
        <v>36.1</v>
      </c>
      <c r="C14" s="43">
        <v>100.0</v>
      </c>
      <c r="D14" s="43">
        <v>91.7</v>
      </c>
      <c r="E14" s="13" t="s">
        <v>2240</v>
      </c>
      <c r="F14" s="13" t="s">
        <v>344</v>
      </c>
    </row>
    <row r="15">
      <c r="A15" s="13" t="s">
        <v>2241</v>
      </c>
      <c r="B15" s="13" t="s">
        <v>2242</v>
      </c>
      <c r="C15" s="13" t="s">
        <v>746</v>
      </c>
      <c r="D15" s="13" t="s">
        <v>2243</v>
      </c>
      <c r="E15" s="13" t="s">
        <v>2229</v>
      </c>
      <c r="F15" s="13" t="s">
        <v>2244</v>
      </c>
    </row>
    <row r="16">
      <c r="A16" s="13" t="s">
        <v>2245</v>
      </c>
      <c r="B16" s="43">
        <v>2.0</v>
      </c>
      <c r="C16" s="43">
        <v>3.0</v>
      </c>
      <c r="D16" s="43">
        <v>4.0</v>
      </c>
      <c r="E16" s="13" t="s">
        <v>344</v>
      </c>
      <c r="F16" s="43">
        <v>9.0</v>
      </c>
    </row>
    <row r="17">
      <c r="A17" s="13" t="s">
        <v>2247</v>
      </c>
      <c r="B17" s="43">
        <v>4.0</v>
      </c>
      <c r="C17" s="43">
        <v>1.0</v>
      </c>
      <c r="D17" s="43">
        <v>3.0</v>
      </c>
      <c r="E17" s="43">
        <v>0.0</v>
      </c>
      <c r="F17" s="43">
        <v>8.0</v>
      </c>
    </row>
    <row r="18">
      <c r="A18" s="13" t="s">
        <v>2249</v>
      </c>
      <c r="B18" s="13" t="s">
        <v>2250</v>
      </c>
      <c r="C18" s="13" t="s">
        <v>2251</v>
      </c>
      <c r="D18" s="13" t="s">
        <v>2252</v>
      </c>
      <c r="E18" s="13" t="s">
        <v>2222</v>
      </c>
      <c r="F18" s="13" t="s">
        <v>2253</v>
      </c>
    </row>
    <row r="19">
      <c r="A19" s="13" t="s">
        <v>2254</v>
      </c>
      <c r="B19" s="13" t="s">
        <v>2250</v>
      </c>
      <c r="C19" s="13" t="s">
        <v>2251</v>
      </c>
      <c r="D19" s="13" t="s">
        <v>2252</v>
      </c>
      <c r="E19" s="13" t="s">
        <v>2222</v>
      </c>
      <c r="F19" s="13" t="s">
        <v>2253</v>
      </c>
    </row>
    <row r="21" ht="15.75" customHeight="1"/>
    <row r="22" ht="15.75" customHeight="1">
      <c r="A22" s="25" t="s">
        <v>2256</v>
      </c>
      <c r="B22" s="26"/>
      <c r="C22" s="26"/>
      <c r="D22" s="26"/>
    </row>
    <row r="23" ht="15.75" customHeight="1">
      <c r="A23" s="27" t="s">
        <v>2258</v>
      </c>
      <c r="B23" s="26"/>
      <c r="C23" s="26"/>
      <c r="D23" s="26"/>
    </row>
    <row r="24" ht="15.75" customHeight="1">
      <c r="A24" s="41" t="s">
        <v>2259</v>
      </c>
      <c r="B24" s="41" t="s">
        <v>2261</v>
      </c>
      <c r="C24" s="41" t="s">
        <v>2262</v>
      </c>
    </row>
    <row r="25" ht="15.75" customHeight="1">
      <c r="A25" s="13" t="s">
        <v>2263</v>
      </c>
      <c r="B25" s="13" t="s">
        <v>2264</v>
      </c>
      <c r="C25" s="13" t="s">
        <v>2265</v>
      </c>
    </row>
    <row r="26" ht="15.75" customHeight="1">
      <c r="A26" s="13" t="s">
        <v>2267</v>
      </c>
      <c r="B26" s="13" t="s">
        <v>2268</v>
      </c>
      <c r="C26" s="13" t="s">
        <v>2270</v>
      </c>
    </row>
    <row r="27" ht="15.75" customHeight="1">
      <c r="A27" s="13" t="s">
        <v>2272</v>
      </c>
      <c r="B27" s="13" t="s">
        <v>2274</v>
      </c>
      <c r="C27" s="13" t="s">
        <v>2276</v>
      </c>
    </row>
    <row r="28" ht="15.75" customHeight="1">
      <c r="A28" s="13" t="s">
        <v>2278</v>
      </c>
      <c r="B28" s="13" t="s">
        <v>2280</v>
      </c>
      <c r="C28" s="13" t="s">
        <v>2281</v>
      </c>
    </row>
    <row r="29" ht="15.75" customHeight="1">
      <c r="A29" s="13" t="s">
        <v>2282</v>
      </c>
      <c r="B29" s="13" t="s">
        <v>2284</v>
      </c>
      <c r="C29" s="13" t="s">
        <v>2286</v>
      </c>
    </row>
    <row r="30" ht="15.75" customHeight="1">
      <c r="A30" s="13" t="s">
        <v>2288</v>
      </c>
      <c r="B30" s="13" t="s">
        <v>2289</v>
      </c>
      <c r="C30" s="13" t="s">
        <v>2290</v>
      </c>
    </row>
    <row r="31" ht="15.75" customHeight="1">
      <c r="A31" s="13" t="s">
        <v>2291</v>
      </c>
      <c r="B31" s="43">
        <v>0.0</v>
      </c>
      <c r="C31" s="13" t="s">
        <v>2292</v>
      </c>
    </row>
    <row r="32" ht="15.75" customHeight="1">
      <c r="A32" s="13" t="s">
        <v>2294</v>
      </c>
      <c r="B32" s="13" t="s">
        <v>2296</v>
      </c>
      <c r="C32" s="13" t="s">
        <v>2297</v>
      </c>
    </row>
    <row r="33" ht="15.75" customHeight="1">
      <c r="A33" s="42" t="s">
        <v>536</v>
      </c>
    </row>
    <row r="34" ht="15.75" customHeight="1"/>
    <row r="35" ht="15.75" customHeight="1"/>
    <row r="36" ht="15.75" customHeight="1">
      <c r="A36" s="25" t="s">
        <v>2302</v>
      </c>
      <c r="B36" s="26"/>
      <c r="C36" s="26"/>
      <c r="D36" s="26"/>
      <c r="E36" s="26"/>
    </row>
    <row r="37" ht="15.75" customHeight="1">
      <c r="A37" s="27" t="s">
        <v>2306</v>
      </c>
      <c r="B37" s="26"/>
      <c r="C37" s="26"/>
      <c r="D37" s="26"/>
      <c r="E37" s="26"/>
    </row>
    <row r="38" ht="15.75" customHeight="1">
      <c r="A38" s="41" t="s">
        <v>2309</v>
      </c>
      <c r="B38" s="41"/>
      <c r="C38" s="41" t="s">
        <v>2310</v>
      </c>
      <c r="D38" s="41"/>
      <c r="E38" s="41" t="s">
        <v>2313</v>
      </c>
    </row>
    <row r="39" ht="15.75" customHeight="1"/>
    <row r="40" ht="15.75" customHeight="1"/>
    <row r="41" ht="15.75" customHeight="1">
      <c r="A41" s="25" t="s">
        <v>2316</v>
      </c>
      <c r="B41" s="26"/>
      <c r="C41" s="26"/>
      <c r="D41" s="26"/>
    </row>
    <row r="42" ht="15.75" customHeight="1">
      <c r="A42" s="27" t="s">
        <v>2258</v>
      </c>
      <c r="B42" s="26"/>
      <c r="C42" s="26"/>
      <c r="D42" s="26"/>
    </row>
    <row r="43" ht="15.75" customHeight="1">
      <c r="A43" s="41" t="s">
        <v>2259</v>
      </c>
      <c r="B43" s="41" t="s">
        <v>2261</v>
      </c>
      <c r="C43" s="41" t="s">
        <v>2262</v>
      </c>
    </row>
    <row r="44" ht="15.75" customHeight="1">
      <c r="A44" s="13" t="s">
        <v>2323</v>
      </c>
      <c r="B44" s="13" t="s">
        <v>2324</v>
      </c>
      <c r="C44" s="13" t="s">
        <v>2326</v>
      </c>
    </row>
    <row r="45" ht="15.75" customHeight="1">
      <c r="A45" s="13" t="s">
        <v>2329</v>
      </c>
      <c r="B45" s="13" t="s">
        <v>2331</v>
      </c>
      <c r="C45" s="13" t="s">
        <v>2332</v>
      </c>
    </row>
    <row r="46" ht="15.75" customHeight="1">
      <c r="A46" s="13" t="s">
        <v>2333</v>
      </c>
      <c r="B46" s="13" t="s">
        <v>2331</v>
      </c>
      <c r="C46" s="13" t="s">
        <v>2335</v>
      </c>
    </row>
    <row r="47" ht="15.75" customHeight="1">
      <c r="A47" s="13" t="s">
        <v>2336</v>
      </c>
      <c r="B47" s="13" t="s">
        <v>2337</v>
      </c>
      <c r="C47" s="13" t="s">
        <v>2338</v>
      </c>
    </row>
    <row r="48" ht="15.75" customHeight="1">
      <c r="A48" s="13" t="s">
        <v>2339</v>
      </c>
      <c r="B48" s="13" t="s">
        <v>2341</v>
      </c>
      <c r="C48" s="13" t="s">
        <v>2342</v>
      </c>
    </row>
    <row r="49" ht="15.75" customHeight="1">
      <c r="A49" s="13" t="s">
        <v>2343</v>
      </c>
      <c r="B49" s="13" t="s">
        <v>2341</v>
      </c>
      <c r="C49" s="13" t="s">
        <v>2342</v>
      </c>
    </row>
    <row r="50" ht="15.75" customHeight="1">
      <c r="A50" s="13" t="s">
        <v>2344</v>
      </c>
      <c r="B50" s="13" t="s">
        <v>2345</v>
      </c>
      <c r="C50" s="13" t="s">
        <v>2347</v>
      </c>
    </row>
    <row r="51" ht="15.75" customHeight="1">
      <c r="A51" s="13" t="s">
        <v>2349</v>
      </c>
      <c r="B51" s="13" t="s">
        <v>2341</v>
      </c>
      <c r="C51" s="13" t="s">
        <v>2350</v>
      </c>
    </row>
    <row r="52" ht="15.75" customHeight="1">
      <c r="A52" s="13" t="s">
        <v>2351</v>
      </c>
      <c r="B52" s="13" t="s">
        <v>2353</v>
      </c>
      <c r="C52" s="13" t="s">
        <v>2354</v>
      </c>
    </row>
    <row r="53" ht="15.75" customHeight="1">
      <c r="A53" s="42" t="s">
        <v>787</v>
      </c>
    </row>
    <row r="54" ht="15.75" customHeight="1"/>
    <row r="55" ht="15.75" customHeight="1"/>
    <row r="56" ht="15.75" customHeight="1">
      <c r="A56" s="25" t="s">
        <v>2355</v>
      </c>
      <c r="B56" s="26"/>
      <c r="C56" s="26"/>
      <c r="D56" s="26"/>
      <c r="E56" s="26"/>
      <c r="F56" s="26"/>
      <c r="G56" s="26"/>
    </row>
    <row r="57" ht="15.75" customHeight="1">
      <c r="A57" s="27" t="s">
        <v>2357</v>
      </c>
      <c r="B57" s="26"/>
      <c r="C57" s="26"/>
      <c r="D57" s="26"/>
      <c r="E57" s="26"/>
      <c r="F57" s="26"/>
      <c r="G57" s="26"/>
    </row>
    <row r="58" ht="15.75" customHeight="1">
      <c r="A58" s="41" t="s">
        <v>2359</v>
      </c>
      <c r="B58" s="41"/>
      <c r="C58" s="41" t="s">
        <v>2360</v>
      </c>
      <c r="D58" s="41"/>
      <c r="E58" s="41" t="s">
        <v>2361</v>
      </c>
      <c r="F58" s="41"/>
      <c r="G58" s="41" t="s">
        <v>2362</v>
      </c>
    </row>
    <row r="59" ht="15.75" customHeight="1"/>
    <row r="60" ht="15.75" customHeight="1"/>
    <row r="61" ht="15.75" customHeight="1">
      <c r="A61" s="25" t="s">
        <v>2363</v>
      </c>
      <c r="B61" s="26"/>
      <c r="C61" s="26"/>
      <c r="D61" s="26"/>
      <c r="E61" s="26"/>
    </row>
    <row r="62" ht="15.75" customHeight="1">
      <c r="A62" s="27" t="s">
        <v>2364</v>
      </c>
      <c r="B62" s="26"/>
      <c r="C62" s="26"/>
      <c r="D62" s="26"/>
      <c r="E62" s="26"/>
    </row>
    <row r="63" ht="15.75" customHeight="1">
      <c r="A63" s="41" t="s">
        <v>2213</v>
      </c>
      <c r="B63" s="41" t="s">
        <v>644</v>
      </c>
      <c r="C63" s="41" t="s">
        <v>526</v>
      </c>
      <c r="D63" s="41" t="s">
        <v>622</v>
      </c>
      <c r="E63" s="41" t="s">
        <v>668</v>
      </c>
    </row>
    <row r="64" ht="15.75" customHeight="1">
      <c r="A64" s="13" t="s">
        <v>2214</v>
      </c>
      <c r="B64" s="43">
        <v>22.0</v>
      </c>
      <c r="C64" s="43">
        <v>33.0</v>
      </c>
      <c r="D64" s="43">
        <v>11.0</v>
      </c>
      <c r="E64" s="43">
        <v>2.0</v>
      </c>
    </row>
    <row r="65" ht="15.75" customHeight="1">
      <c r="A65" s="13" t="s">
        <v>2368</v>
      </c>
      <c r="B65" s="43">
        <v>32.16</v>
      </c>
      <c r="C65" s="43">
        <v>30.46</v>
      </c>
      <c r="D65" s="43">
        <v>34.09</v>
      </c>
      <c r="E65" s="43">
        <v>11.25</v>
      </c>
    </row>
    <row r="66" ht="15.75" customHeight="1">
      <c r="A66" s="13" t="s">
        <v>2369</v>
      </c>
      <c r="B66" s="43">
        <v>31.8</v>
      </c>
      <c r="C66" s="43">
        <v>18.2</v>
      </c>
      <c r="D66" s="43">
        <v>63.6</v>
      </c>
      <c r="E66" s="43">
        <v>0.0</v>
      </c>
    </row>
    <row r="67" ht="15.75" customHeight="1">
      <c r="A67" s="13" t="s">
        <v>2218</v>
      </c>
      <c r="B67" s="13" t="s">
        <v>2221</v>
      </c>
      <c r="C67" s="13" t="s">
        <v>2219</v>
      </c>
      <c r="D67" s="13" t="s">
        <v>2220</v>
      </c>
      <c r="E67" s="13" t="s">
        <v>2222</v>
      </c>
    </row>
    <row r="68" ht="15.75" customHeight="1">
      <c r="A68" s="13" t="s">
        <v>2372</v>
      </c>
      <c r="B68" s="13" t="s">
        <v>2228</v>
      </c>
      <c r="C68" s="13" t="s">
        <v>2226</v>
      </c>
      <c r="D68" s="13" t="s">
        <v>2227</v>
      </c>
      <c r="E68" s="13" t="s">
        <v>2229</v>
      </c>
    </row>
    <row r="69" ht="15.75" customHeight="1">
      <c r="A69" s="13" t="s">
        <v>2373</v>
      </c>
      <c r="B69" s="13" t="s">
        <v>2233</v>
      </c>
      <c r="C69" s="13" t="s">
        <v>2231</v>
      </c>
      <c r="D69" s="13" t="s">
        <v>2232</v>
      </c>
      <c r="E69" s="13" t="s">
        <v>2229</v>
      </c>
    </row>
    <row r="70" ht="15.75" customHeight="1">
      <c r="A70" s="13" t="s">
        <v>2234</v>
      </c>
      <c r="B70" s="13" t="s">
        <v>2237</v>
      </c>
      <c r="C70" s="13" t="s">
        <v>2235</v>
      </c>
      <c r="D70" s="13" t="s">
        <v>2236</v>
      </c>
      <c r="E70" s="13" t="s">
        <v>2229</v>
      </c>
    </row>
    <row r="71" ht="15.75" customHeight="1">
      <c r="A71" s="13" t="s">
        <v>2238</v>
      </c>
      <c r="B71" s="43">
        <v>91.7</v>
      </c>
      <c r="C71" s="43">
        <v>36.1</v>
      </c>
      <c r="D71" s="43">
        <v>100.0</v>
      </c>
      <c r="E71" s="13" t="s">
        <v>344</v>
      </c>
    </row>
    <row r="72" ht="15.75" customHeight="1">
      <c r="A72" s="13" t="s">
        <v>2378</v>
      </c>
      <c r="B72" s="43">
        <v>91.7</v>
      </c>
      <c r="C72" s="43">
        <v>33.3</v>
      </c>
      <c r="D72" s="43">
        <v>100.0</v>
      </c>
      <c r="E72" s="13" t="s">
        <v>344</v>
      </c>
    </row>
    <row r="73" ht="15.75" customHeight="1">
      <c r="A73" s="13" t="s">
        <v>2380</v>
      </c>
      <c r="B73" s="43">
        <v>91.7</v>
      </c>
      <c r="C73" s="43">
        <v>36.1</v>
      </c>
      <c r="D73" s="43">
        <v>91.7</v>
      </c>
      <c r="E73" s="13" t="s">
        <v>344</v>
      </c>
    </row>
    <row r="74" ht="15.75" customHeight="1">
      <c r="A74" s="13" t="s">
        <v>2241</v>
      </c>
      <c r="B74" s="13" t="s">
        <v>2383</v>
      </c>
      <c r="C74" s="13" t="s">
        <v>2242</v>
      </c>
      <c r="D74" s="13" t="s">
        <v>746</v>
      </c>
      <c r="E74" s="13" t="s">
        <v>2229</v>
      </c>
    </row>
    <row r="75" ht="15.75" customHeight="1">
      <c r="A75" s="13" t="s">
        <v>2245</v>
      </c>
      <c r="B75" s="43">
        <v>4.0</v>
      </c>
      <c r="C75" s="43">
        <v>2.0</v>
      </c>
      <c r="D75" s="43">
        <v>3.0</v>
      </c>
      <c r="E75" s="13" t="s">
        <v>344</v>
      </c>
    </row>
    <row r="76" ht="15.75" customHeight="1">
      <c r="A76" s="13" t="s">
        <v>2384</v>
      </c>
      <c r="B76" s="43">
        <v>77.0</v>
      </c>
      <c r="C76" s="43">
        <v>43.0</v>
      </c>
      <c r="D76" s="43">
        <v>36.0</v>
      </c>
      <c r="E76" s="43">
        <v>2.0</v>
      </c>
    </row>
    <row r="77" ht="15.75" customHeight="1">
      <c r="A77" s="13" t="s">
        <v>2386</v>
      </c>
      <c r="B77" s="43">
        <v>3.0</v>
      </c>
      <c r="C77" s="43">
        <v>4.0</v>
      </c>
      <c r="D77" s="43">
        <v>1.0</v>
      </c>
      <c r="E77" s="43">
        <v>0.0</v>
      </c>
    </row>
    <row r="78" ht="15.75" customHeight="1">
      <c r="A78" s="42" t="s">
        <v>922</v>
      </c>
    </row>
    <row r="79" ht="15.75" customHeight="1"/>
    <row r="80" ht="15.75" customHeight="1"/>
    <row r="81" ht="15.75" customHeight="1">
      <c r="A81" s="25" t="s">
        <v>2387</v>
      </c>
      <c r="B81" s="26"/>
      <c r="C81" s="26"/>
      <c r="D81" s="26"/>
    </row>
    <row r="82" ht="15.75" customHeight="1">
      <c r="A82" s="27" t="s">
        <v>2258</v>
      </c>
      <c r="B82" s="26"/>
      <c r="C82" s="26"/>
      <c r="D82" s="26"/>
    </row>
    <row r="83" ht="15.75" customHeight="1">
      <c r="A83" s="41" t="s">
        <v>2259</v>
      </c>
      <c r="B83" s="41" t="s">
        <v>2261</v>
      </c>
      <c r="C83" s="41" t="s">
        <v>2262</v>
      </c>
    </row>
    <row r="84" ht="15.75" customHeight="1">
      <c r="A84" s="13" t="s">
        <v>2389</v>
      </c>
      <c r="B84" s="13" t="s">
        <v>2390</v>
      </c>
      <c r="C84" s="13" t="s">
        <v>2391</v>
      </c>
    </row>
    <row r="85" ht="15.75" customHeight="1">
      <c r="A85" s="13" t="s">
        <v>2393</v>
      </c>
      <c r="B85" s="13" t="s">
        <v>2394</v>
      </c>
      <c r="C85" s="13" t="s">
        <v>2395</v>
      </c>
    </row>
    <row r="86" ht="15.75" customHeight="1">
      <c r="A86" s="13" t="s">
        <v>2396</v>
      </c>
      <c r="B86" s="13" t="s">
        <v>2222</v>
      </c>
      <c r="C86" s="13" t="s">
        <v>2397</v>
      </c>
    </row>
    <row r="87" ht="15.75" customHeight="1">
      <c r="A87" s="13" t="s">
        <v>2398</v>
      </c>
      <c r="B87" s="13" t="s">
        <v>2399</v>
      </c>
      <c r="C87" s="13" t="s">
        <v>2400</v>
      </c>
    </row>
    <row r="88" ht="15.75" customHeight="1">
      <c r="A88" s="13" t="s">
        <v>2401</v>
      </c>
      <c r="B88" s="13" t="s">
        <v>2222</v>
      </c>
      <c r="C88" s="13" t="s">
        <v>2402</v>
      </c>
    </row>
    <row r="89" ht="15.75" customHeight="1">
      <c r="A89" s="13" t="s">
        <v>2403</v>
      </c>
      <c r="B89" s="13" t="s">
        <v>2222</v>
      </c>
      <c r="C89" s="13" t="s">
        <v>2402</v>
      </c>
    </row>
    <row r="90" ht="15.75" customHeight="1">
      <c r="A90" s="13" t="s">
        <v>2404</v>
      </c>
      <c r="B90" s="13" t="s">
        <v>2222</v>
      </c>
      <c r="C90" s="13" t="s">
        <v>2402</v>
      </c>
    </row>
    <row r="91" ht="15.75" customHeight="1">
      <c r="A91" s="13" t="s">
        <v>2405</v>
      </c>
      <c r="B91" s="13" t="s">
        <v>2406</v>
      </c>
      <c r="C91" s="13" t="s">
        <v>2407</v>
      </c>
    </row>
    <row r="92" ht="15.75" customHeight="1">
      <c r="A92" s="13" t="s">
        <v>2408</v>
      </c>
      <c r="B92" s="13" t="s">
        <v>2409</v>
      </c>
      <c r="C92" s="13" t="s">
        <v>2410</v>
      </c>
    </row>
    <row r="93" ht="15.75" customHeight="1">
      <c r="A93" s="13" t="s">
        <v>2411</v>
      </c>
      <c r="B93" s="13" t="s">
        <v>2412</v>
      </c>
      <c r="C93" s="13" t="s">
        <v>2413</v>
      </c>
    </row>
    <row r="94" ht="15.75" customHeight="1">
      <c r="A94" s="42" t="s">
        <v>1012</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4" width="26.0"/>
    <col customWidth="1" min="5" max="26" width="8.71"/>
  </cols>
  <sheetData>
    <row r="1">
      <c r="A1" s="12" t="s">
        <v>2416</v>
      </c>
    </row>
    <row r="2">
      <c r="A2" s="24" t="s">
        <v>2209</v>
      </c>
    </row>
    <row r="4">
      <c r="A4" s="25" t="s">
        <v>2417</v>
      </c>
      <c r="B4" s="26"/>
      <c r="C4" s="26"/>
      <c r="D4" s="26"/>
    </row>
    <row r="5">
      <c r="A5" s="27" t="s">
        <v>2419</v>
      </c>
      <c r="B5" s="26"/>
      <c r="C5" s="26"/>
      <c r="D5" s="26"/>
    </row>
    <row r="6">
      <c r="A6" s="41" t="s">
        <v>2421</v>
      </c>
      <c r="B6" s="41" t="s">
        <v>2423</v>
      </c>
      <c r="C6" s="41" t="s">
        <v>2159</v>
      </c>
      <c r="D6" s="41" t="s">
        <v>2425</v>
      </c>
    </row>
    <row r="7">
      <c r="A7" s="13" t="s">
        <v>2428</v>
      </c>
      <c r="B7" s="13" t="s">
        <v>2429</v>
      </c>
      <c r="C7" s="13" t="s">
        <v>2431</v>
      </c>
      <c r="D7" s="13" t="s">
        <v>2433</v>
      </c>
    </row>
    <row r="8">
      <c r="A8" s="13" t="s">
        <v>2434</v>
      </c>
      <c r="B8" s="13" t="s">
        <v>2436</v>
      </c>
      <c r="C8" s="13" t="s">
        <v>2439</v>
      </c>
      <c r="D8" s="13" t="s">
        <v>2441</v>
      </c>
    </row>
    <row r="9">
      <c r="A9" s="13" t="s">
        <v>1535</v>
      </c>
      <c r="B9" s="13" t="s">
        <v>2442</v>
      </c>
      <c r="C9" s="13" t="s">
        <v>2445</v>
      </c>
      <c r="D9" s="13" t="s">
        <v>2447</v>
      </c>
    </row>
    <row r="10">
      <c r="A10" s="13" t="s">
        <v>2450</v>
      </c>
      <c r="B10" s="13" t="s">
        <v>2453</v>
      </c>
      <c r="C10" s="13" t="s">
        <v>2455</v>
      </c>
      <c r="D10" s="13" t="s">
        <v>2457</v>
      </c>
    </row>
    <row r="11">
      <c r="A11" s="13" t="s">
        <v>2460</v>
      </c>
      <c r="B11" s="13" t="s">
        <v>2463</v>
      </c>
      <c r="C11" s="13" t="s">
        <v>2464</v>
      </c>
      <c r="D11" s="13" t="s">
        <v>2467</v>
      </c>
    </row>
    <row r="14">
      <c r="A14" s="25" t="s">
        <v>2470</v>
      </c>
      <c r="B14" s="26"/>
      <c r="C14" s="26"/>
      <c r="D14" s="26"/>
    </row>
    <row r="15">
      <c r="A15" s="27" t="s">
        <v>2419</v>
      </c>
      <c r="B15" s="26"/>
      <c r="C15" s="26"/>
      <c r="D15" s="26"/>
    </row>
    <row r="16">
      <c r="A16" s="41" t="s">
        <v>2421</v>
      </c>
      <c r="B16" s="41" t="s">
        <v>2157</v>
      </c>
      <c r="C16" s="41" t="s">
        <v>2159</v>
      </c>
      <c r="D16" s="41" t="s">
        <v>2482</v>
      </c>
    </row>
    <row r="17">
      <c r="A17" s="13" t="s">
        <v>2490</v>
      </c>
      <c r="B17" s="13" t="s">
        <v>2492</v>
      </c>
      <c r="C17" s="13" t="s">
        <v>2494</v>
      </c>
      <c r="D17" s="13" t="s">
        <v>2497</v>
      </c>
    </row>
    <row r="18">
      <c r="A18" s="13" t="s">
        <v>2499</v>
      </c>
      <c r="B18" s="13" t="s">
        <v>2500</v>
      </c>
      <c r="C18" s="13" t="s">
        <v>2502</v>
      </c>
      <c r="D18" s="13" t="s">
        <v>2504</v>
      </c>
    </row>
    <row r="19">
      <c r="A19" s="13" t="s">
        <v>2506</v>
      </c>
      <c r="B19" s="13" t="s">
        <v>2507</v>
      </c>
      <c r="C19" s="13" t="s">
        <v>2509</v>
      </c>
      <c r="D19" s="13" t="s">
        <v>2511</v>
      </c>
    </row>
    <row r="20">
      <c r="A20" s="13" t="s">
        <v>2513</v>
      </c>
      <c r="B20" s="13" t="s">
        <v>2515</v>
      </c>
      <c r="C20" s="13" t="s">
        <v>2517</v>
      </c>
      <c r="D20" s="13" t="s">
        <v>2518</v>
      </c>
    </row>
    <row r="21" ht="15.75" customHeight="1">
      <c r="A21" s="13" t="s">
        <v>2000</v>
      </c>
      <c r="B21" s="13" t="s">
        <v>2521</v>
      </c>
      <c r="C21" s="13" t="s">
        <v>2523</v>
      </c>
      <c r="D21" s="13" t="s">
        <v>2525</v>
      </c>
    </row>
    <row r="22" ht="15.75" customHeight="1">
      <c r="A22" s="42" t="s">
        <v>552</v>
      </c>
    </row>
    <row r="23" ht="15.75" customHeight="1"/>
    <row r="24" ht="15.75" customHeight="1"/>
    <row r="25" ht="15.75" customHeight="1">
      <c r="A25" s="25" t="s">
        <v>2528</v>
      </c>
      <c r="B25" s="26"/>
      <c r="C25" s="26"/>
      <c r="D25" s="26"/>
    </row>
    <row r="26" ht="15.75" customHeight="1">
      <c r="A26" s="27" t="s">
        <v>2419</v>
      </c>
      <c r="B26" s="26"/>
      <c r="C26" s="26"/>
      <c r="D26" s="26"/>
    </row>
    <row r="27" ht="15.75" customHeight="1">
      <c r="A27" s="41" t="s">
        <v>2421</v>
      </c>
      <c r="B27" s="41" t="s">
        <v>2157</v>
      </c>
      <c r="C27" s="41" t="s">
        <v>2159</v>
      </c>
      <c r="D27" s="41" t="s">
        <v>2482</v>
      </c>
    </row>
    <row r="28" ht="15.75" customHeight="1">
      <c r="A28" s="13" t="s">
        <v>804</v>
      </c>
      <c r="B28" s="13" t="s">
        <v>2535</v>
      </c>
      <c r="C28" s="13" t="s">
        <v>2536</v>
      </c>
      <c r="D28" s="13" t="s">
        <v>2538</v>
      </c>
    </row>
    <row r="29" ht="15.75" customHeight="1">
      <c r="A29" s="13" t="s">
        <v>2434</v>
      </c>
      <c r="B29" s="13" t="s">
        <v>2539</v>
      </c>
      <c r="C29" s="13" t="s">
        <v>2540</v>
      </c>
      <c r="D29" s="13" t="s">
        <v>2541</v>
      </c>
    </row>
    <row r="30" ht="15.75" customHeight="1">
      <c r="A30" s="13" t="s">
        <v>1535</v>
      </c>
      <c r="B30" s="13" t="s">
        <v>2544</v>
      </c>
      <c r="C30" s="13" t="s">
        <v>2546</v>
      </c>
      <c r="D30" s="13" t="s">
        <v>2547</v>
      </c>
    </row>
    <row r="31" ht="15.75" customHeight="1">
      <c r="A31" s="13" t="s">
        <v>2450</v>
      </c>
      <c r="B31" s="13" t="s">
        <v>2549</v>
      </c>
      <c r="C31" s="13" t="s">
        <v>2550</v>
      </c>
      <c r="D31" s="13" t="s">
        <v>2551</v>
      </c>
    </row>
    <row r="32" ht="15.75" customHeight="1">
      <c r="A32" s="13" t="s">
        <v>2553</v>
      </c>
      <c r="B32" s="13" t="s">
        <v>2555</v>
      </c>
      <c r="C32" s="13" t="s">
        <v>2556</v>
      </c>
      <c r="D32" s="13" t="s">
        <v>2558</v>
      </c>
    </row>
    <row r="33" ht="15.75" customHeight="1">
      <c r="A33" s="42" t="s">
        <v>795</v>
      </c>
    </row>
    <row r="34" ht="15.75" customHeight="1"/>
    <row r="35" ht="15.75" customHeight="1"/>
    <row r="36" ht="15.75" customHeight="1">
      <c r="A36" s="25" t="s">
        <v>2561</v>
      </c>
      <c r="B36" s="26"/>
      <c r="C36" s="26"/>
      <c r="D36" s="26"/>
    </row>
    <row r="37" ht="15.75" customHeight="1">
      <c r="A37" s="27" t="s">
        <v>2565</v>
      </c>
      <c r="B37" s="26"/>
      <c r="C37" s="26"/>
      <c r="D37" s="26"/>
    </row>
    <row r="38" ht="15.75" customHeight="1">
      <c r="A38" s="41"/>
      <c r="B38" s="41" t="s">
        <v>2569</v>
      </c>
      <c r="C38" s="41" t="s">
        <v>2570</v>
      </c>
    </row>
    <row r="39" ht="15.75" customHeight="1">
      <c r="A39" s="13" t="s">
        <v>2572</v>
      </c>
      <c r="B39" s="13" t="s">
        <v>2574</v>
      </c>
      <c r="C39" s="43">
        <v>24.0</v>
      </c>
    </row>
    <row r="40" ht="15.75" customHeight="1">
      <c r="A40" s="13" t="s">
        <v>1258</v>
      </c>
      <c r="B40" s="43">
        <v>36.0</v>
      </c>
      <c r="C40" s="43">
        <v>222.0</v>
      </c>
    </row>
    <row r="41" ht="15.75" customHeight="1">
      <c r="A41" s="13" t="s">
        <v>477</v>
      </c>
      <c r="B41" s="43">
        <v>0.0</v>
      </c>
      <c r="C41" s="43">
        <v>6.0</v>
      </c>
    </row>
    <row r="42" ht="15.75" customHeight="1">
      <c r="A42" s="13" t="s">
        <v>2580</v>
      </c>
      <c r="B42" s="43">
        <v>94.0</v>
      </c>
      <c r="C42" s="43">
        <v>199.0</v>
      </c>
    </row>
    <row r="43" ht="15.75" customHeight="1">
      <c r="A43" s="13" t="s">
        <v>2583</v>
      </c>
      <c r="B43" s="43">
        <v>10.0</v>
      </c>
      <c r="C43" s="43">
        <v>128.0</v>
      </c>
    </row>
    <row r="44" ht="15.75" customHeight="1">
      <c r="A44" s="13" t="s">
        <v>2585</v>
      </c>
      <c r="B44" s="43">
        <v>214250.0</v>
      </c>
      <c r="C44" s="13" t="s">
        <v>2587</v>
      </c>
    </row>
    <row r="45" ht="15.75" customHeight="1"/>
    <row r="46" ht="15.75" customHeight="1"/>
    <row r="47" ht="15.75" customHeight="1">
      <c r="A47" s="25" t="s">
        <v>2589</v>
      </c>
      <c r="B47" s="26"/>
      <c r="C47" s="26"/>
      <c r="D47" s="26"/>
    </row>
    <row r="48" ht="15.75" customHeight="1">
      <c r="A48" s="27" t="s">
        <v>2419</v>
      </c>
      <c r="B48" s="26"/>
      <c r="C48" s="26"/>
      <c r="D48" s="26"/>
    </row>
    <row r="49" ht="15.75" customHeight="1">
      <c r="A49" s="41" t="s">
        <v>2421</v>
      </c>
      <c r="B49" s="41" t="s">
        <v>2157</v>
      </c>
      <c r="C49" s="41" t="s">
        <v>2159</v>
      </c>
      <c r="D49" s="41" t="s">
        <v>2482</v>
      </c>
    </row>
    <row r="50" ht="15.75" customHeight="1">
      <c r="A50" s="13" t="s">
        <v>804</v>
      </c>
      <c r="B50" s="13" t="s">
        <v>2596</v>
      </c>
      <c r="C50" s="13" t="s">
        <v>2597</v>
      </c>
      <c r="D50" s="13" t="s">
        <v>2598</v>
      </c>
    </row>
    <row r="51" ht="15.75" customHeight="1">
      <c r="A51" s="13" t="s">
        <v>2434</v>
      </c>
      <c r="B51" s="13" t="s">
        <v>2600</v>
      </c>
      <c r="C51" s="13" t="s">
        <v>2601</v>
      </c>
      <c r="D51" s="13" t="s">
        <v>2602</v>
      </c>
    </row>
    <row r="52" ht="15.75" customHeight="1">
      <c r="A52" s="13" t="s">
        <v>1535</v>
      </c>
      <c r="B52" s="13" t="s">
        <v>2603</v>
      </c>
      <c r="C52" s="13" t="s">
        <v>2604</v>
      </c>
      <c r="D52" s="13" t="s">
        <v>2605</v>
      </c>
    </row>
    <row r="53" ht="15.75" customHeight="1">
      <c r="A53" s="13" t="s">
        <v>2450</v>
      </c>
      <c r="B53" s="13" t="s">
        <v>2606</v>
      </c>
      <c r="C53" s="13" t="s">
        <v>2607</v>
      </c>
      <c r="D53" s="13" t="s">
        <v>2608</v>
      </c>
    </row>
    <row r="54" ht="15.75" customHeight="1">
      <c r="A54" s="13" t="s">
        <v>2609</v>
      </c>
      <c r="B54" s="13" t="s">
        <v>2610</v>
      </c>
      <c r="C54" s="13" t="s">
        <v>2611</v>
      </c>
      <c r="D54" s="13" t="s">
        <v>2612</v>
      </c>
    </row>
    <row r="55" ht="15.75" customHeight="1">
      <c r="A55" s="42" t="s">
        <v>924</v>
      </c>
    </row>
    <row r="56" ht="15.75" customHeight="1"/>
    <row r="57" ht="15.75" customHeight="1"/>
    <row r="58" ht="15.75" customHeight="1">
      <c r="A58" s="25" t="s">
        <v>2614</v>
      </c>
      <c r="B58" s="26"/>
      <c r="C58" s="26"/>
      <c r="D58" s="26"/>
    </row>
    <row r="59" ht="15.75" customHeight="1">
      <c r="A59" s="27" t="s">
        <v>2618</v>
      </c>
      <c r="B59" s="26"/>
      <c r="C59" s="26"/>
      <c r="D59" s="26"/>
    </row>
    <row r="60" ht="15.75" customHeight="1">
      <c r="A60" s="41"/>
      <c r="B60" s="41" t="s">
        <v>2620</v>
      </c>
      <c r="C60" s="41" t="s">
        <v>2621</v>
      </c>
    </row>
    <row r="61" ht="15.75" customHeight="1">
      <c r="A61" s="13" t="s">
        <v>255</v>
      </c>
      <c r="B61" s="13" t="s">
        <v>2623</v>
      </c>
      <c r="C61" s="13" t="s">
        <v>2625</v>
      </c>
    </row>
    <row r="62" ht="15.75" customHeight="1">
      <c r="A62" s="13" t="s">
        <v>2627</v>
      </c>
      <c r="B62" s="13" t="s">
        <v>2629</v>
      </c>
      <c r="C62" s="13" t="s">
        <v>2630</v>
      </c>
    </row>
    <row r="63" ht="15.75" customHeight="1">
      <c r="A63" s="13" t="s">
        <v>2632</v>
      </c>
      <c r="B63" s="13" t="s">
        <v>2633</v>
      </c>
      <c r="C63" s="13" t="s">
        <v>2630</v>
      </c>
    </row>
    <row r="64" ht="15.75" customHeight="1">
      <c r="A64" s="13" t="s">
        <v>2405</v>
      </c>
      <c r="B64" s="13" t="s">
        <v>2637</v>
      </c>
      <c r="C64" s="13" t="s">
        <v>2638</v>
      </c>
    </row>
    <row r="65" ht="15.75" customHeight="1">
      <c r="A65" s="13" t="s">
        <v>2640</v>
      </c>
      <c r="B65" s="13" t="s">
        <v>2642</v>
      </c>
      <c r="C65" s="13" t="s">
        <v>2644</v>
      </c>
    </row>
    <row r="66" ht="15.75" customHeight="1">
      <c r="A66" s="13" t="s">
        <v>2645</v>
      </c>
      <c r="B66" s="13" t="s">
        <v>2646</v>
      </c>
      <c r="C66" s="13" t="s">
        <v>2647</v>
      </c>
    </row>
    <row r="67" ht="15.75" customHeight="1">
      <c r="A67" s="13" t="s">
        <v>2648</v>
      </c>
      <c r="B67" s="13" t="s">
        <v>2650</v>
      </c>
      <c r="C67" s="13" t="s">
        <v>2651</v>
      </c>
    </row>
    <row r="68" ht="15.75" customHeight="1">
      <c r="A68" s="42" t="s">
        <v>1018</v>
      </c>
    </row>
    <row r="69" ht="15.75" customHeight="1"/>
    <row r="70" ht="15.75" customHeight="1"/>
    <row r="71" ht="15.75" customHeight="1">
      <c r="A71" s="25" t="s">
        <v>2655</v>
      </c>
      <c r="B71" s="26"/>
      <c r="C71" s="26"/>
      <c r="D71" s="26"/>
    </row>
    <row r="72" ht="15.75" customHeight="1">
      <c r="A72" s="27" t="s">
        <v>2658</v>
      </c>
      <c r="B72" s="26"/>
      <c r="C72" s="26"/>
      <c r="D72" s="26"/>
    </row>
    <row r="73" ht="15.75" customHeight="1">
      <c r="A73" s="41" t="s">
        <v>2421</v>
      </c>
      <c r="B73" s="41" t="s">
        <v>2157</v>
      </c>
      <c r="C73" s="41" t="s">
        <v>2663</v>
      </c>
      <c r="D73" s="41" t="s">
        <v>2482</v>
      </c>
    </row>
    <row r="74" ht="15.75" customHeight="1">
      <c r="A74" s="13" t="s">
        <v>2665</v>
      </c>
      <c r="B74" s="13" t="s">
        <v>2667</v>
      </c>
      <c r="C74" s="13" t="s">
        <v>2668</v>
      </c>
      <c r="D74" s="13" t="s">
        <v>2669</v>
      </c>
    </row>
    <row r="75" ht="15.75" customHeight="1">
      <c r="A75" s="13" t="s">
        <v>459</v>
      </c>
      <c r="B75" s="13" t="s">
        <v>2671</v>
      </c>
      <c r="C75" s="13" t="s">
        <v>2673</v>
      </c>
      <c r="D75" s="13" t="s">
        <v>2674</v>
      </c>
    </row>
    <row r="76" ht="15.75" customHeight="1">
      <c r="A76" s="13" t="s">
        <v>2675</v>
      </c>
      <c r="B76" s="13" t="s">
        <v>2677</v>
      </c>
      <c r="C76" s="13" t="s">
        <v>2678</v>
      </c>
      <c r="D76" s="13" t="s">
        <v>2679</v>
      </c>
    </row>
    <row r="77" ht="15.75" customHeight="1">
      <c r="A77" s="13" t="s">
        <v>2680</v>
      </c>
      <c r="B77" s="13" t="s">
        <v>2681</v>
      </c>
      <c r="C77" s="13" t="s">
        <v>2682</v>
      </c>
      <c r="D77" s="13" t="s">
        <v>2683</v>
      </c>
    </row>
    <row r="78" ht="15.75" customHeight="1">
      <c r="A78" s="13" t="s">
        <v>2684</v>
      </c>
      <c r="B78" s="13" t="s">
        <v>2685</v>
      </c>
      <c r="C78" s="13" t="s">
        <v>2686</v>
      </c>
      <c r="D78" s="13" t="s">
        <v>2688</v>
      </c>
    </row>
    <row r="79" ht="15.75" customHeight="1">
      <c r="A79" s="42" t="s">
        <v>1021</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4" width="26.0"/>
    <col customWidth="1" min="5" max="26" width="8.71"/>
  </cols>
  <sheetData>
    <row r="1">
      <c r="A1" s="12" t="s">
        <v>2422</v>
      </c>
    </row>
    <row r="2">
      <c r="A2" s="24" t="s">
        <v>2424</v>
      </c>
    </row>
    <row r="4">
      <c r="A4" s="25" t="s">
        <v>2427</v>
      </c>
      <c r="B4" s="26"/>
      <c r="C4" s="26"/>
      <c r="D4" s="26"/>
    </row>
    <row r="5">
      <c r="A5" s="27" t="s">
        <v>2438</v>
      </c>
      <c r="B5" s="26"/>
      <c r="C5" s="26"/>
      <c r="D5" s="26"/>
    </row>
    <row r="6">
      <c r="A6" s="41" t="s">
        <v>2444</v>
      </c>
      <c r="B6" s="41" t="s">
        <v>2448</v>
      </c>
      <c r="C6" s="41" t="s">
        <v>2451</v>
      </c>
      <c r="D6" s="41" t="s">
        <v>2454</v>
      </c>
    </row>
    <row r="7">
      <c r="A7" s="13" t="s">
        <v>2458</v>
      </c>
      <c r="B7" s="13" t="s">
        <v>2461</v>
      </c>
      <c r="C7" s="13" t="s">
        <v>2465</v>
      </c>
      <c r="D7" s="13" t="s">
        <v>2468</v>
      </c>
    </row>
    <row r="8">
      <c r="A8" s="13" t="s">
        <v>2471</v>
      </c>
      <c r="B8" s="13" t="s">
        <v>2473</v>
      </c>
      <c r="C8" s="13" t="s">
        <v>2475</v>
      </c>
      <c r="D8" s="13" t="s">
        <v>2477</v>
      </c>
    </row>
    <row r="9">
      <c r="A9" s="13" t="s">
        <v>2479</v>
      </c>
      <c r="B9" s="13" t="s">
        <v>2480</v>
      </c>
      <c r="C9" s="13" t="s">
        <v>2483</v>
      </c>
      <c r="D9" s="13" t="s">
        <v>2485</v>
      </c>
    </row>
    <row r="10">
      <c r="A10" s="13" t="s">
        <v>2487</v>
      </c>
      <c r="B10" s="13" t="s">
        <v>2489</v>
      </c>
      <c r="C10" s="13" t="s">
        <v>2493</v>
      </c>
      <c r="D10" s="13" t="s">
        <v>2496</v>
      </c>
    </row>
    <row r="11">
      <c r="A11" s="13" t="s">
        <v>2498</v>
      </c>
      <c r="B11" s="13" t="s">
        <v>2501</v>
      </c>
      <c r="C11" s="13" t="s">
        <v>2503</v>
      </c>
      <c r="D11" s="13" t="s">
        <v>2505</v>
      </c>
    </row>
    <row r="12">
      <c r="A12" s="13" t="s">
        <v>2508</v>
      </c>
      <c r="B12" s="13" t="s">
        <v>2510</v>
      </c>
      <c r="C12" s="13" t="s">
        <v>2512</v>
      </c>
      <c r="D12" s="13" t="s">
        <v>2514</v>
      </c>
    </row>
    <row r="13">
      <c r="A13" s="13" t="s">
        <v>2516</v>
      </c>
      <c r="B13" s="13" t="s">
        <v>2519</v>
      </c>
      <c r="C13" s="13" t="s">
        <v>2520</v>
      </c>
      <c r="D13" s="13" t="s">
        <v>2522</v>
      </c>
    </row>
    <row r="14">
      <c r="A14" s="13" t="s">
        <v>2524</v>
      </c>
      <c r="B14" s="13" t="s">
        <v>2526</v>
      </c>
      <c r="C14" s="13" t="s">
        <v>2527</v>
      </c>
      <c r="D14" s="13" t="s">
        <v>2529</v>
      </c>
    </row>
    <row r="15">
      <c r="A15" s="13" t="s">
        <v>2530</v>
      </c>
      <c r="B15" s="13" t="s">
        <v>2531</v>
      </c>
      <c r="C15" s="13" t="s">
        <v>2532</v>
      </c>
      <c r="D15" s="13" t="s">
        <v>2533</v>
      </c>
    </row>
    <row r="18">
      <c r="A18" s="25" t="s">
        <v>2534</v>
      </c>
      <c r="B18" s="26"/>
      <c r="C18" s="26"/>
      <c r="D18" s="26"/>
    </row>
    <row r="19">
      <c r="A19" s="27" t="s">
        <v>2537</v>
      </c>
      <c r="B19" s="26"/>
      <c r="C19" s="26"/>
      <c r="D19" s="26"/>
    </row>
    <row r="20">
      <c r="A20" s="41" t="s">
        <v>2444</v>
      </c>
      <c r="B20" s="41" t="s">
        <v>2542</v>
      </c>
      <c r="C20" s="41" t="s">
        <v>2543</v>
      </c>
      <c r="D20" s="41" t="s">
        <v>2545</v>
      </c>
    </row>
    <row r="21" ht="15.75" customHeight="1">
      <c r="A21" s="13" t="s">
        <v>2548</v>
      </c>
      <c r="B21" s="13"/>
      <c r="C21" s="13"/>
      <c r="D21" s="13"/>
    </row>
    <row r="22" ht="15.75" customHeight="1">
      <c r="A22" s="13" t="s">
        <v>2552</v>
      </c>
      <c r="B22" s="13" t="s">
        <v>2554</v>
      </c>
      <c r="C22" s="13" t="s">
        <v>2557</v>
      </c>
      <c r="D22" s="13" t="s">
        <v>2559</v>
      </c>
    </row>
    <row r="23" ht="15.75" customHeight="1">
      <c r="A23" s="13" t="s">
        <v>2560</v>
      </c>
      <c r="B23" s="13" t="s">
        <v>2562</v>
      </c>
      <c r="C23" s="13" t="s">
        <v>2563</v>
      </c>
      <c r="D23" s="13" t="s">
        <v>2564</v>
      </c>
    </row>
    <row r="24" ht="15.75" customHeight="1">
      <c r="A24" s="13" t="s">
        <v>2566</v>
      </c>
      <c r="B24" s="13" t="s">
        <v>2567</v>
      </c>
      <c r="C24" s="13" t="s">
        <v>2568</v>
      </c>
      <c r="D24" s="13" t="s">
        <v>2571</v>
      </c>
    </row>
    <row r="25" ht="15.75" customHeight="1">
      <c r="A25" s="13" t="s">
        <v>2573</v>
      </c>
      <c r="B25" s="13" t="s">
        <v>2575</v>
      </c>
      <c r="C25" s="13" t="s">
        <v>2576</v>
      </c>
      <c r="D25" s="13" t="s">
        <v>2577</v>
      </c>
    </row>
    <row r="26" ht="15.75" customHeight="1">
      <c r="A26" s="13" t="s">
        <v>2578</v>
      </c>
      <c r="B26" s="13" t="s">
        <v>2579</v>
      </c>
      <c r="C26" s="13" t="s">
        <v>2581</v>
      </c>
      <c r="D26" s="13" t="s">
        <v>2582</v>
      </c>
    </row>
    <row r="27" ht="15.75" customHeight="1">
      <c r="A27" s="13" t="s">
        <v>2584</v>
      </c>
      <c r="B27" s="13"/>
      <c r="C27" s="13"/>
      <c r="D27" s="13"/>
    </row>
    <row r="28" ht="15.75" customHeight="1">
      <c r="A28" s="13" t="s">
        <v>2586</v>
      </c>
      <c r="B28" s="13" t="s">
        <v>2588</v>
      </c>
      <c r="C28" s="13" t="s">
        <v>2590</v>
      </c>
      <c r="D28" s="13" t="s">
        <v>2591</v>
      </c>
    </row>
    <row r="29" ht="15.75" customHeight="1">
      <c r="A29" s="13" t="s">
        <v>2592</v>
      </c>
      <c r="B29" s="13" t="s">
        <v>2593</v>
      </c>
      <c r="C29" s="13" t="s">
        <v>2594</v>
      </c>
      <c r="D29" s="13" t="s">
        <v>2595</v>
      </c>
    </row>
    <row r="30" ht="15.75" customHeight="1">
      <c r="A30" s="42" t="s">
        <v>562</v>
      </c>
    </row>
    <row r="31" ht="15.75" customHeight="1"/>
    <row r="32" ht="15.75" customHeight="1"/>
    <row r="33" ht="15.75" customHeight="1">
      <c r="A33" s="25" t="s">
        <v>2599</v>
      </c>
      <c r="B33" s="26"/>
      <c r="C33" s="26"/>
      <c r="D33" s="26"/>
    </row>
    <row r="34" ht="15.75" customHeight="1">
      <c r="A34" s="27" t="s">
        <v>2537</v>
      </c>
      <c r="B34" s="26"/>
      <c r="C34" s="26"/>
      <c r="D34" s="26"/>
    </row>
    <row r="35" ht="15.75" customHeight="1">
      <c r="A35" s="41" t="s">
        <v>2444</v>
      </c>
      <c r="B35" s="41" t="s">
        <v>2542</v>
      </c>
      <c r="C35" s="41" t="s">
        <v>2543</v>
      </c>
      <c r="D35" s="41" t="s">
        <v>2545</v>
      </c>
    </row>
    <row r="36" ht="15.75" customHeight="1">
      <c r="A36" s="13" t="s">
        <v>2548</v>
      </c>
      <c r="B36" s="13"/>
      <c r="C36" s="13"/>
      <c r="D36" s="13"/>
    </row>
    <row r="37" ht="15.75" customHeight="1">
      <c r="A37" s="13" t="s">
        <v>2613</v>
      </c>
      <c r="B37" s="13" t="s">
        <v>2615</v>
      </c>
      <c r="C37" s="13" t="s">
        <v>2616</v>
      </c>
      <c r="D37" s="13" t="s">
        <v>2617</v>
      </c>
    </row>
    <row r="38" ht="15.75" customHeight="1">
      <c r="A38" s="13" t="s">
        <v>2619</v>
      </c>
      <c r="B38" s="13" t="s">
        <v>2622</v>
      </c>
      <c r="C38" s="13" t="s">
        <v>2624</v>
      </c>
      <c r="D38" s="13" t="s">
        <v>2626</v>
      </c>
    </row>
    <row r="39" ht="15.75" customHeight="1">
      <c r="A39" s="13" t="s">
        <v>2628</v>
      </c>
      <c r="B39" s="13" t="s">
        <v>2631</v>
      </c>
      <c r="C39" s="13" t="s">
        <v>2634</v>
      </c>
      <c r="D39" s="13" t="s">
        <v>2635</v>
      </c>
    </row>
    <row r="40" ht="15.75" customHeight="1">
      <c r="A40" s="13" t="s">
        <v>2636</v>
      </c>
      <c r="B40" s="13" t="s">
        <v>2639</v>
      </c>
      <c r="C40" s="13" t="s">
        <v>2641</v>
      </c>
      <c r="D40" s="13" t="s">
        <v>2643</v>
      </c>
    </row>
    <row r="41" ht="15.75" customHeight="1">
      <c r="A41" s="13" t="s">
        <v>2584</v>
      </c>
      <c r="B41" s="13"/>
      <c r="C41" s="13"/>
      <c r="D41" s="13"/>
    </row>
    <row r="42" ht="15.75" customHeight="1">
      <c r="A42" s="13" t="s">
        <v>2649</v>
      </c>
      <c r="B42" s="13" t="s">
        <v>2652</v>
      </c>
      <c r="C42" s="13" t="s">
        <v>2653</v>
      </c>
      <c r="D42" s="13" t="s">
        <v>2654</v>
      </c>
    </row>
    <row r="43" ht="15.75" customHeight="1">
      <c r="A43" s="13" t="s">
        <v>2656</v>
      </c>
      <c r="B43" s="13" t="s">
        <v>2657</v>
      </c>
      <c r="C43" s="13" t="s">
        <v>2659</v>
      </c>
      <c r="D43" s="13" t="s">
        <v>2660</v>
      </c>
    </row>
    <row r="44" ht="15.75" customHeight="1">
      <c r="A44" s="13" t="s">
        <v>2661</v>
      </c>
      <c r="B44" s="13" t="s">
        <v>2662</v>
      </c>
      <c r="C44" s="13" t="s">
        <v>2664</v>
      </c>
      <c r="D44" s="13" t="s">
        <v>2666</v>
      </c>
    </row>
    <row r="45" ht="15.75" customHeight="1">
      <c r="A45" s="42" t="s">
        <v>799</v>
      </c>
    </row>
    <row r="46" ht="15.75" customHeight="1"/>
    <row r="47" ht="15.75" customHeight="1"/>
    <row r="48" ht="15.75" customHeight="1">
      <c r="A48" s="25" t="s">
        <v>2672</v>
      </c>
      <c r="B48" s="26"/>
      <c r="C48" s="26"/>
      <c r="D48" s="26"/>
    </row>
    <row r="49" ht="15.75" customHeight="1">
      <c r="A49" s="27" t="s">
        <v>2537</v>
      </c>
      <c r="B49" s="26"/>
      <c r="C49" s="26"/>
      <c r="D49" s="26"/>
    </row>
    <row r="50" ht="15.75" customHeight="1">
      <c r="A50" s="41" t="s">
        <v>2444</v>
      </c>
      <c r="B50" s="41" t="s">
        <v>2542</v>
      </c>
      <c r="C50" s="41" t="s">
        <v>2543</v>
      </c>
      <c r="D50" s="41" t="s">
        <v>2545</v>
      </c>
    </row>
    <row r="51" ht="15.75" customHeight="1">
      <c r="A51" s="13" t="s">
        <v>2689</v>
      </c>
      <c r="B51" s="13" t="s">
        <v>2690</v>
      </c>
      <c r="C51" s="13" t="s">
        <v>2691</v>
      </c>
      <c r="D51" s="13" t="s">
        <v>2692</v>
      </c>
    </row>
    <row r="52" ht="15.75" customHeight="1">
      <c r="A52" s="13" t="s">
        <v>2552</v>
      </c>
      <c r="B52" s="13" t="s">
        <v>2694</v>
      </c>
      <c r="C52" s="13" t="s">
        <v>2696</v>
      </c>
      <c r="D52" s="13" t="s">
        <v>2698</v>
      </c>
    </row>
    <row r="53" ht="15.75" customHeight="1">
      <c r="A53" s="13" t="s">
        <v>2700</v>
      </c>
      <c r="B53" s="13" t="s">
        <v>2702</v>
      </c>
      <c r="C53" s="13" t="s">
        <v>2703</v>
      </c>
      <c r="D53" s="13" t="s">
        <v>2705</v>
      </c>
    </row>
    <row r="54" ht="15.75" customHeight="1">
      <c r="A54" s="13" t="s">
        <v>2707</v>
      </c>
      <c r="B54" s="13" t="s">
        <v>2708</v>
      </c>
      <c r="C54" s="13" t="s">
        <v>2709</v>
      </c>
      <c r="D54" s="13" t="s">
        <v>2591</v>
      </c>
    </row>
    <row r="55" ht="15.75" customHeight="1">
      <c r="A55" s="13" t="s">
        <v>2656</v>
      </c>
      <c r="B55" s="13" t="s">
        <v>2712</v>
      </c>
      <c r="C55" s="13" t="s">
        <v>2713</v>
      </c>
      <c r="D55" s="13" t="s">
        <v>2595</v>
      </c>
    </row>
    <row r="56" ht="15.75" customHeight="1">
      <c r="A56" s="13" t="s">
        <v>2714</v>
      </c>
      <c r="B56" s="13" t="s">
        <v>2716</v>
      </c>
      <c r="C56" s="13" t="s">
        <v>2718</v>
      </c>
      <c r="D56" s="13" t="s">
        <v>2719</v>
      </c>
    </row>
    <row r="57" ht="15.75" customHeight="1">
      <c r="A57" s="13" t="s">
        <v>2720</v>
      </c>
      <c r="B57" s="13" t="s">
        <v>2721</v>
      </c>
      <c r="C57" s="13" t="s">
        <v>2723</v>
      </c>
      <c r="D57" s="13" t="s">
        <v>2582</v>
      </c>
    </row>
    <row r="58" ht="15.75" customHeight="1">
      <c r="A58" s="42" t="s">
        <v>928</v>
      </c>
    </row>
    <row r="59" ht="15.75" customHeight="1"/>
    <row r="60" ht="15.75" customHeight="1"/>
    <row r="61" ht="15.75" customHeight="1">
      <c r="A61" s="25" t="s">
        <v>2727</v>
      </c>
      <c r="B61" s="26"/>
      <c r="C61" s="26"/>
      <c r="D61" s="26"/>
    </row>
    <row r="62" ht="15.75" customHeight="1">
      <c r="A62" s="27" t="s">
        <v>2537</v>
      </c>
      <c r="B62" s="26"/>
      <c r="C62" s="26"/>
      <c r="D62" s="26"/>
    </row>
    <row r="63" ht="15.75" customHeight="1">
      <c r="A63" s="41" t="s">
        <v>2444</v>
      </c>
      <c r="B63" s="41" t="s">
        <v>2542</v>
      </c>
      <c r="C63" s="41" t="s">
        <v>2543</v>
      </c>
      <c r="D63" s="41" t="s">
        <v>2545</v>
      </c>
    </row>
    <row r="64" ht="15.75" customHeight="1">
      <c r="A64" s="13" t="s">
        <v>2736</v>
      </c>
      <c r="B64" s="13"/>
      <c r="C64" s="13"/>
      <c r="D64" s="13"/>
    </row>
    <row r="65" ht="15.75" customHeight="1">
      <c r="A65" s="13" t="s">
        <v>2739</v>
      </c>
      <c r="B65" s="13" t="s">
        <v>2741</v>
      </c>
      <c r="C65" s="13" t="s">
        <v>2743</v>
      </c>
      <c r="D65" s="13" t="s">
        <v>2744</v>
      </c>
    </row>
    <row r="66" ht="15.75" customHeight="1">
      <c r="A66" s="13" t="s">
        <v>2745</v>
      </c>
      <c r="B66" s="13" t="s">
        <v>2746</v>
      </c>
      <c r="C66" s="13" t="s">
        <v>2748</v>
      </c>
      <c r="D66" s="13" t="s">
        <v>2749</v>
      </c>
    </row>
    <row r="67" ht="15.75" customHeight="1">
      <c r="A67" s="13" t="s">
        <v>2750</v>
      </c>
      <c r="B67" s="13" t="s">
        <v>2751</v>
      </c>
      <c r="C67" s="13" t="s">
        <v>2753</v>
      </c>
      <c r="D67" s="13" t="s">
        <v>2755</v>
      </c>
    </row>
    <row r="68" ht="15.75" customHeight="1">
      <c r="A68" s="13" t="s">
        <v>2759</v>
      </c>
      <c r="B68" s="13" t="s">
        <v>2761</v>
      </c>
      <c r="C68" s="13" t="s">
        <v>2762</v>
      </c>
      <c r="D68" s="13" t="s">
        <v>2764</v>
      </c>
    </row>
    <row r="69" ht="15.75" customHeight="1">
      <c r="A69" s="13" t="s">
        <v>2766</v>
      </c>
      <c r="B69" s="13" t="s">
        <v>2769</v>
      </c>
      <c r="C69" s="13" t="s">
        <v>2770</v>
      </c>
      <c r="D69" s="13" t="s">
        <v>2771</v>
      </c>
    </row>
    <row r="70" ht="15.75" customHeight="1">
      <c r="A70" s="13" t="s">
        <v>2773</v>
      </c>
      <c r="B70" s="13" t="s">
        <v>2776</v>
      </c>
      <c r="C70" s="13" t="s">
        <v>2778</v>
      </c>
      <c r="D70" s="13" t="s">
        <v>2780</v>
      </c>
    </row>
    <row r="71" ht="15.75" customHeight="1">
      <c r="A71" s="13" t="s">
        <v>2781</v>
      </c>
      <c r="B71" s="13"/>
      <c r="C71" s="13"/>
      <c r="D71" s="13"/>
    </row>
    <row r="72" ht="15.75" customHeight="1">
      <c r="A72" s="13" t="s">
        <v>2786</v>
      </c>
      <c r="B72" s="13" t="s">
        <v>2788</v>
      </c>
      <c r="C72" s="13" t="s">
        <v>2790</v>
      </c>
      <c r="D72" s="13" t="s">
        <v>2792</v>
      </c>
    </row>
    <row r="73" ht="15.75" customHeight="1">
      <c r="A73" s="13" t="s">
        <v>2794</v>
      </c>
      <c r="B73" s="13" t="s">
        <v>2796</v>
      </c>
      <c r="C73" s="13" t="s">
        <v>2799</v>
      </c>
      <c r="D73" s="13" t="s">
        <v>2800</v>
      </c>
    </row>
    <row r="74" ht="15.75" customHeight="1">
      <c r="A74" s="13" t="s">
        <v>2803</v>
      </c>
      <c r="B74" s="13" t="s">
        <v>2809</v>
      </c>
      <c r="C74" s="13" t="s">
        <v>2811</v>
      </c>
      <c r="D74" s="13" t="s">
        <v>2813</v>
      </c>
    </row>
    <row r="75" ht="15.75" customHeight="1">
      <c r="A75" s="13" t="s">
        <v>2816</v>
      </c>
      <c r="B75" s="13" t="s">
        <v>2819</v>
      </c>
      <c r="C75" s="13" t="s">
        <v>2822</v>
      </c>
      <c r="D75" s="13" t="s">
        <v>2824</v>
      </c>
    </row>
    <row r="76" ht="15.75" customHeight="1">
      <c r="A76" s="42" t="s">
        <v>1022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5" width="26.0"/>
    <col customWidth="1" min="6" max="26" width="8.71"/>
  </cols>
  <sheetData>
    <row r="1">
      <c r="A1" s="12" t="s">
        <v>2670</v>
      </c>
    </row>
    <row r="2">
      <c r="A2" s="24" t="s">
        <v>1250</v>
      </c>
    </row>
    <row r="4">
      <c r="A4" s="25" t="s">
        <v>2676</v>
      </c>
      <c r="B4" s="26"/>
      <c r="C4" s="26"/>
      <c r="D4" s="26"/>
      <c r="E4" s="26"/>
    </row>
    <row r="5">
      <c r="A5" s="27" t="s">
        <v>2687</v>
      </c>
      <c r="B5" s="26"/>
      <c r="C5" s="26"/>
      <c r="D5" s="26"/>
      <c r="E5" s="26"/>
    </row>
    <row r="6">
      <c r="A6" s="41" t="s">
        <v>2693</v>
      </c>
      <c r="B6" s="41" t="s">
        <v>2695</v>
      </c>
      <c r="C6" s="41" t="s">
        <v>2697</v>
      </c>
      <c r="D6" s="41" t="s">
        <v>2699</v>
      </c>
      <c r="E6" s="41" t="s">
        <v>2701</v>
      </c>
    </row>
    <row r="7">
      <c r="A7" s="43">
        <v>1.0</v>
      </c>
      <c r="B7" s="13" t="s">
        <v>2704</v>
      </c>
      <c r="C7" s="13" t="s">
        <v>2706</v>
      </c>
      <c r="D7" s="13" t="s">
        <v>2484</v>
      </c>
      <c r="E7" s="13" t="s">
        <v>344</v>
      </c>
    </row>
    <row r="8">
      <c r="A8" s="43">
        <v>2.0</v>
      </c>
      <c r="B8" s="13" t="s">
        <v>2710</v>
      </c>
      <c r="C8" s="13" t="s">
        <v>2711</v>
      </c>
      <c r="D8" s="13" t="s">
        <v>2484</v>
      </c>
      <c r="E8" s="13" t="s">
        <v>344</v>
      </c>
    </row>
    <row r="9">
      <c r="A9" s="43">
        <v>3.0</v>
      </c>
      <c r="B9" s="13" t="s">
        <v>2715</v>
      </c>
      <c r="C9" s="13" t="s">
        <v>2717</v>
      </c>
      <c r="D9" s="13" t="s">
        <v>2484</v>
      </c>
      <c r="E9" s="43">
        <v>1.0</v>
      </c>
    </row>
    <row r="10">
      <c r="A10" s="43">
        <v>4.0</v>
      </c>
      <c r="B10" s="13" t="s">
        <v>2722</v>
      </c>
      <c r="C10" s="13" t="s">
        <v>2724</v>
      </c>
      <c r="D10" s="13" t="s">
        <v>2725</v>
      </c>
      <c r="E10" s="13" t="s">
        <v>2726</v>
      </c>
    </row>
    <row r="11">
      <c r="A11" s="43">
        <v>5.0</v>
      </c>
      <c r="B11" s="13" t="s">
        <v>2728</v>
      </c>
      <c r="C11" s="13" t="s">
        <v>2729</v>
      </c>
      <c r="D11" s="13" t="s">
        <v>2730</v>
      </c>
      <c r="E11" s="13" t="s">
        <v>2731</v>
      </c>
    </row>
    <row r="12">
      <c r="A12" s="43">
        <v>6.0</v>
      </c>
      <c r="B12" s="13" t="s">
        <v>2732</v>
      </c>
      <c r="C12" s="13" t="s">
        <v>2733</v>
      </c>
      <c r="D12" s="13" t="s">
        <v>2734</v>
      </c>
      <c r="E12" s="13" t="s">
        <v>2735</v>
      </c>
    </row>
    <row r="13">
      <c r="A13" s="43">
        <v>7.0</v>
      </c>
      <c r="B13" s="13" t="s">
        <v>2737</v>
      </c>
      <c r="C13" s="13" t="s">
        <v>2738</v>
      </c>
      <c r="D13" s="13" t="s">
        <v>2730</v>
      </c>
      <c r="E13" s="13" t="s">
        <v>2740</v>
      </c>
    </row>
    <row r="16">
      <c r="A16" s="25" t="s">
        <v>2742</v>
      </c>
      <c r="B16" s="26"/>
      <c r="C16" s="26"/>
      <c r="D16" s="26"/>
    </row>
    <row r="17">
      <c r="A17" s="27" t="s">
        <v>2747</v>
      </c>
      <c r="B17" s="26"/>
      <c r="C17" s="26"/>
      <c r="D17" s="26"/>
    </row>
    <row r="18">
      <c r="A18" s="41" t="s">
        <v>2752</v>
      </c>
      <c r="B18" s="41" t="s">
        <v>2695</v>
      </c>
      <c r="C18" s="41" t="s">
        <v>2756</v>
      </c>
      <c r="D18" s="41" t="s">
        <v>2758</v>
      </c>
    </row>
    <row r="19">
      <c r="A19" s="43">
        <v>1.0</v>
      </c>
      <c r="B19" s="13" t="s">
        <v>2763</v>
      </c>
      <c r="C19" s="13" t="s">
        <v>2765</v>
      </c>
      <c r="D19" s="13" t="s">
        <v>2767</v>
      </c>
    </row>
    <row r="20">
      <c r="A20" s="43">
        <v>2.0</v>
      </c>
      <c r="B20" s="13" t="s">
        <v>2772</v>
      </c>
      <c r="C20" s="13" t="s">
        <v>2775</v>
      </c>
      <c r="D20" s="13" t="s">
        <v>2779</v>
      </c>
    </row>
    <row r="21" ht="15.75" customHeight="1">
      <c r="A21" s="43">
        <v>3.0</v>
      </c>
      <c r="B21" s="13" t="s">
        <v>2782</v>
      </c>
      <c r="C21" s="13" t="s">
        <v>2784</v>
      </c>
      <c r="D21" s="13" t="s">
        <v>2787</v>
      </c>
    </row>
    <row r="22" ht="15.75" customHeight="1">
      <c r="A22" s="43">
        <v>4.0</v>
      </c>
      <c r="B22" s="13" t="s">
        <v>2791</v>
      </c>
      <c r="C22" s="13" t="s">
        <v>2795</v>
      </c>
      <c r="D22" s="13" t="s">
        <v>2797</v>
      </c>
    </row>
    <row r="23" ht="15.75" customHeight="1">
      <c r="A23" s="43">
        <v>5.0</v>
      </c>
      <c r="B23" s="13" t="s">
        <v>2802</v>
      </c>
      <c r="C23" s="13" t="s">
        <v>2805</v>
      </c>
      <c r="D23" s="13" t="s">
        <v>2808</v>
      </c>
    </row>
    <row r="24" ht="15.75" customHeight="1">
      <c r="A24" s="43">
        <v>6.0</v>
      </c>
      <c r="B24" s="13" t="s">
        <v>2814</v>
      </c>
      <c r="C24" s="13" t="s">
        <v>2818</v>
      </c>
      <c r="D24" s="13" t="s">
        <v>2821</v>
      </c>
    </row>
    <row r="25" ht="15.75" customHeight="1">
      <c r="A25" s="43">
        <v>7.0</v>
      </c>
      <c r="B25" s="13" t="s">
        <v>2827</v>
      </c>
      <c r="C25" s="13" t="s">
        <v>2829</v>
      </c>
      <c r="D25" s="13" t="s">
        <v>2831</v>
      </c>
    </row>
    <row r="26" ht="15.75" customHeight="1">
      <c r="A26" s="42" t="s">
        <v>574</v>
      </c>
    </row>
    <row r="27" ht="15.75" customHeight="1"/>
    <row r="28" ht="15.75" customHeight="1"/>
    <row r="29" ht="15.75" customHeight="1">
      <c r="A29" s="25" t="s">
        <v>2835</v>
      </c>
      <c r="B29" s="26"/>
      <c r="C29" s="26"/>
      <c r="D29" s="26"/>
      <c r="E29" s="26"/>
    </row>
    <row r="30" ht="15.75" customHeight="1">
      <c r="A30" s="27" t="s">
        <v>2840</v>
      </c>
      <c r="B30" s="26"/>
      <c r="C30" s="26"/>
      <c r="D30" s="26"/>
      <c r="E30" s="26"/>
    </row>
    <row r="31" ht="15.75" customHeight="1">
      <c r="A31" s="44">
        <v>3.0</v>
      </c>
      <c r="B31" s="41" t="s">
        <v>2848</v>
      </c>
      <c r="C31" s="41" t="s">
        <v>2850</v>
      </c>
      <c r="D31" s="41" t="s">
        <v>2852</v>
      </c>
      <c r="E31" s="41" t="s">
        <v>2853</v>
      </c>
    </row>
    <row r="32" ht="15.75" customHeight="1">
      <c r="A32" s="43">
        <v>4.0</v>
      </c>
      <c r="B32" s="13" t="s">
        <v>2855</v>
      </c>
      <c r="C32" s="13" t="s">
        <v>2856</v>
      </c>
      <c r="D32" s="13" t="s">
        <v>2858</v>
      </c>
      <c r="E32" s="13" t="s">
        <v>2860</v>
      </c>
    </row>
    <row r="33" ht="15.75" customHeight="1">
      <c r="A33" s="43">
        <v>5.0</v>
      </c>
      <c r="B33" s="13" t="s">
        <v>2863</v>
      </c>
      <c r="C33" s="13" t="s">
        <v>2867</v>
      </c>
      <c r="D33" s="13" t="s">
        <v>2868</v>
      </c>
      <c r="E33" s="13" t="s">
        <v>2871</v>
      </c>
    </row>
    <row r="34" ht="15.75" customHeight="1">
      <c r="A34" s="43">
        <v>6.0</v>
      </c>
      <c r="B34" s="13" t="s">
        <v>2874</v>
      </c>
      <c r="C34" s="13" t="s">
        <v>2876</v>
      </c>
      <c r="D34" s="13" t="s">
        <v>2878</v>
      </c>
      <c r="E34" s="13" t="s">
        <v>2871</v>
      </c>
    </row>
    <row r="35" ht="15.75" customHeight="1">
      <c r="A35" s="43">
        <v>7.0</v>
      </c>
      <c r="B35" s="13" t="s">
        <v>2882</v>
      </c>
      <c r="C35" s="13" t="s">
        <v>2884</v>
      </c>
      <c r="D35" s="13" t="s">
        <v>2886</v>
      </c>
      <c r="E35" s="13" t="s">
        <v>2889</v>
      </c>
    </row>
    <row r="36" ht="15.75" customHeight="1">
      <c r="A36" s="42" t="s">
        <v>581</v>
      </c>
    </row>
    <row r="37" ht="15.75" customHeight="1"/>
    <row r="38" ht="15.75" customHeight="1"/>
    <row r="39" ht="15.75" customHeight="1">
      <c r="A39" s="25" t="s">
        <v>2892</v>
      </c>
      <c r="B39" s="26"/>
      <c r="C39" s="26"/>
      <c r="D39" s="26"/>
    </row>
    <row r="40" ht="15.75" customHeight="1">
      <c r="A40" s="27" t="s">
        <v>2747</v>
      </c>
      <c r="B40" s="26"/>
      <c r="C40" s="26"/>
      <c r="D40" s="26"/>
    </row>
    <row r="41" ht="15.75" customHeight="1">
      <c r="A41" s="41" t="s">
        <v>2752</v>
      </c>
      <c r="B41" s="41" t="s">
        <v>2695</v>
      </c>
      <c r="C41" s="41" t="s">
        <v>2756</v>
      </c>
      <c r="D41" s="41" t="s">
        <v>2758</v>
      </c>
    </row>
    <row r="42" ht="15.75" customHeight="1">
      <c r="A42" s="43">
        <v>1.0</v>
      </c>
      <c r="B42" s="13" t="s">
        <v>2907</v>
      </c>
      <c r="C42" s="13" t="s">
        <v>2909</v>
      </c>
      <c r="D42" s="13" t="s">
        <v>2911</v>
      </c>
    </row>
    <row r="43" ht="15.75" customHeight="1">
      <c r="A43" s="43">
        <v>2.0</v>
      </c>
      <c r="B43" s="13" t="s">
        <v>2915</v>
      </c>
      <c r="C43" s="13" t="s">
        <v>2916</v>
      </c>
      <c r="D43" s="13" t="s">
        <v>2918</v>
      </c>
    </row>
    <row r="44" ht="15.75" customHeight="1">
      <c r="A44" s="43">
        <v>3.0</v>
      </c>
      <c r="B44" s="13" t="s">
        <v>2922</v>
      </c>
      <c r="C44" s="13" t="s">
        <v>2925</v>
      </c>
      <c r="D44" s="13" t="s">
        <v>2927</v>
      </c>
    </row>
    <row r="45" ht="15.75" customHeight="1">
      <c r="A45" s="43">
        <v>4.0</v>
      </c>
      <c r="B45" s="13" t="s">
        <v>2932</v>
      </c>
      <c r="C45" s="13" t="s">
        <v>2935</v>
      </c>
      <c r="D45" s="13" t="s">
        <v>2936</v>
      </c>
    </row>
    <row r="46" ht="15.75" customHeight="1">
      <c r="A46" s="43">
        <v>5.0</v>
      </c>
      <c r="B46" s="13" t="s">
        <v>2941</v>
      </c>
      <c r="C46" s="13" t="s">
        <v>2943</v>
      </c>
      <c r="D46" s="13" t="s">
        <v>2946</v>
      </c>
    </row>
    <row r="47" ht="15.75" customHeight="1">
      <c r="A47" s="43">
        <v>6.0</v>
      </c>
      <c r="B47" s="13" t="s">
        <v>2949</v>
      </c>
      <c r="C47" s="13" t="s">
        <v>2951</v>
      </c>
      <c r="D47" s="13" t="s">
        <v>2953</v>
      </c>
    </row>
    <row r="48" ht="15.75" customHeight="1">
      <c r="A48" s="43">
        <v>7.0</v>
      </c>
      <c r="B48" s="13" t="s">
        <v>2956</v>
      </c>
      <c r="C48" s="13" t="s">
        <v>2959</v>
      </c>
      <c r="D48" s="13" t="s">
        <v>2960</v>
      </c>
    </row>
    <row r="49" ht="15.75" customHeight="1">
      <c r="A49" s="42" t="s">
        <v>803</v>
      </c>
    </row>
    <row r="50" ht="15.75" customHeight="1"/>
    <row r="51" ht="15.75" customHeight="1"/>
    <row r="52" ht="15.75" customHeight="1">
      <c r="A52" s="25" t="s">
        <v>2966</v>
      </c>
      <c r="B52" s="26"/>
      <c r="C52" s="26"/>
      <c r="D52" s="26"/>
      <c r="E52" s="26"/>
    </row>
    <row r="53" ht="15.75" customHeight="1">
      <c r="A53" s="27" t="s">
        <v>2975</v>
      </c>
      <c r="B53" s="26"/>
      <c r="C53" s="26"/>
      <c r="D53" s="26"/>
      <c r="E53" s="26"/>
    </row>
    <row r="54" ht="15.75" customHeight="1">
      <c r="A54" s="41" t="s">
        <v>2693</v>
      </c>
      <c r="B54" s="41" t="s">
        <v>2984</v>
      </c>
      <c r="C54" s="41" t="s">
        <v>2986</v>
      </c>
      <c r="D54" s="41" t="s">
        <v>2989</v>
      </c>
      <c r="E54" s="41" t="s">
        <v>2992</v>
      </c>
    </row>
    <row r="55" ht="15.75" customHeight="1">
      <c r="A55" s="43">
        <v>1.0</v>
      </c>
      <c r="B55" s="13" t="s">
        <v>2997</v>
      </c>
      <c r="C55" s="13" t="s">
        <v>3000</v>
      </c>
      <c r="D55" s="13" t="s">
        <v>3003</v>
      </c>
      <c r="E55" s="13" t="s">
        <v>3006</v>
      </c>
    </row>
    <row r="56" ht="15.75" customHeight="1">
      <c r="A56" s="43">
        <v>2.0</v>
      </c>
      <c r="B56" s="13" t="s">
        <v>3011</v>
      </c>
      <c r="C56" s="13" t="s">
        <v>3013</v>
      </c>
      <c r="D56" s="13" t="s">
        <v>3017</v>
      </c>
      <c r="E56" s="13" t="s">
        <v>2889</v>
      </c>
    </row>
    <row r="57" ht="15.75" customHeight="1">
      <c r="A57" s="43">
        <v>3.0</v>
      </c>
      <c r="B57" s="13" t="s">
        <v>3024</v>
      </c>
      <c r="C57" s="13" t="s">
        <v>3027</v>
      </c>
      <c r="D57" s="13" t="s">
        <v>3031</v>
      </c>
      <c r="E57" s="13" t="s">
        <v>2860</v>
      </c>
    </row>
    <row r="58" ht="15.75" customHeight="1">
      <c r="A58" s="43">
        <v>4.0</v>
      </c>
      <c r="B58" s="13" t="s">
        <v>3038</v>
      </c>
      <c r="C58" s="13" t="s">
        <v>3041</v>
      </c>
      <c r="D58" s="13" t="s">
        <v>3044</v>
      </c>
      <c r="E58" s="13" t="s">
        <v>2853</v>
      </c>
    </row>
    <row r="59" ht="15.75" customHeight="1">
      <c r="A59" s="43">
        <v>5.0</v>
      </c>
      <c r="B59" s="13" t="s">
        <v>3047</v>
      </c>
      <c r="C59" s="13" t="s">
        <v>3048</v>
      </c>
      <c r="D59" s="13" t="s">
        <v>3051</v>
      </c>
      <c r="E59" s="13" t="s">
        <v>2871</v>
      </c>
    </row>
    <row r="60" ht="15.75" customHeight="1">
      <c r="A60" s="43">
        <v>6.0</v>
      </c>
      <c r="B60" s="13" t="s">
        <v>3056</v>
      </c>
      <c r="C60" s="13" t="s">
        <v>3058</v>
      </c>
      <c r="D60" s="13" t="s">
        <v>3061</v>
      </c>
      <c r="E60" s="13" t="s">
        <v>3006</v>
      </c>
    </row>
    <row r="61" ht="15.75" customHeight="1">
      <c r="A61" s="43">
        <v>7.0</v>
      </c>
      <c r="B61" s="13" t="s">
        <v>3066</v>
      </c>
      <c r="C61" s="13" t="s">
        <v>3067</v>
      </c>
      <c r="D61" s="13" t="s">
        <v>3070</v>
      </c>
      <c r="E61" s="13" t="s">
        <v>2871</v>
      </c>
    </row>
    <row r="62" ht="15.75" customHeight="1">
      <c r="A62" s="42" t="s">
        <v>807</v>
      </c>
    </row>
    <row r="63" ht="15.75" customHeight="1"/>
    <row r="64" ht="15.75" customHeight="1"/>
    <row r="65" ht="15.75" customHeight="1">
      <c r="A65" s="25" t="s">
        <v>3076</v>
      </c>
      <c r="B65" s="26"/>
      <c r="C65" s="26"/>
      <c r="D65" s="26"/>
    </row>
    <row r="66" ht="15.75" customHeight="1">
      <c r="A66" s="27" t="s">
        <v>3087</v>
      </c>
      <c r="B66" s="26"/>
      <c r="C66" s="26"/>
      <c r="D66" s="26"/>
    </row>
    <row r="67" ht="15.75" customHeight="1">
      <c r="A67" s="41" t="s">
        <v>2752</v>
      </c>
      <c r="B67" s="41" t="s">
        <v>2695</v>
      </c>
      <c r="C67" s="41" t="s">
        <v>2756</v>
      </c>
      <c r="D67" s="41" t="s">
        <v>2758</v>
      </c>
    </row>
    <row r="68" ht="15.75" customHeight="1">
      <c r="A68" s="43">
        <v>1.0</v>
      </c>
      <c r="B68" s="13" t="s">
        <v>3105</v>
      </c>
      <c r="C68" s="13" t="s">
        <v>3107</v>
      </c>
      <c r="D68" s="13" t="s">
        <v>3111</v>
      </c>
    </row>
    <row r="69" ht="15.75" customHeight="1">
      <c r="A69" s="43">
        <v>2.0</v>
      </c>
      <c r="B69" s="13" t="s">
        <v>3114</v>
      </c>
      <c r="C69" s="13" t="s">
        <v>3116</v>
      </c>
      <c r="D69" s="13" t="s">
        <v>3119</v>
      </c>
    </row>
    <row r="70" ht="15.75" customHeight="1">
      <c r="A70" s="43">
        <v>3.0</v>
      </c>
      <c r="B70" s="13" t="s">
        <v>3122</v>
      </c>
      <c r="C70" s="13" t="s">
        <v>3123</v>
      </c>
      <c r="D70" s="13" t="s">
        <v>3124</v>
      </c>
    </row>
    <row r="71" ht="15.75" customHeight="1">
      <c r="A71" s="43">
        <v>4.0</v>
      </c>
      <c r="B71" s="13" t="s">
        <v>3130</v>
      </c>
      <c r="C71" s="13" t="s">
        <v>3134</v>
      </c>
      <c r="D71" s="13" t="s">
        <v>3136</v>
      </c>
    </row>
    <row r="72" ht="15.75" customHeight="1">
      <c r="A72" s="43">
        <v>5.0</v>
      </c>
      <c r="B72" s="13" t="s">
        <v>3144</v>
      </c>
      <c r="C72" s="13" t="s">
        <v>3147</v>
      </c>
      <c r="D72" s="13" t="s">
        <v>3151</v>
      </c>
    </row>
    <row r="73" ht="15.75" customHeight="1">
      <c r="A73" s="43">
        <v>6.0</v>
      </c>
      <c r="B73" s="13" t="s">
        <v>3157</v>
      </c>
      <c r="C73" s="13" t="s">
        <v>3161</v>
      </c>
      <c r="D73" s="13" t="s">
        <v>3164</v>
      </c>
    </row>
    <row r="74" ht="15.75" customHeight="1">
      <c r="A74" s="43">
        <v>7.0</v>
      </c>
      <c r="B74" s="13" t="s">
        <v>3167</v>
      </c>
      <c r="C74" s="13" t="s">
        <v>3170</v>
      </c>
      <c r="D74" s="13" t="s">
        <v>3174</v>
      </c>
    </row>
    <row r="75" ht="15.75" customHeight="1">
      <c r="A75" s="42" t="s">
        <v>933</v>
      </c>
    </row>
    <row r="76" ht="15.75" customHeight="1"/>
    <row r="77" ht="15.75" customHeight="1"/>
    <row r="78" ht="15.75" customHeight="1">
      <c r="A78" s="25" t="s">
        <v>3178</v>
      </c>
      <c r="B78" s="26"/>
      <c r="C78" s="26"/>
      <c r="D78" s="26"/>
      <c r="E78" s="26"/>
    </row>
    <row r="79" ht="15.75" customHeight="1">
      <c r="A79" s="27" t="s">
        <v>3192</v>
      </c>
      <c r="B79" s="26"/>
      <c r="C79" s="26"/>
      <c r="D79" s="26"/>
      <c r="E79" s="26"/>
    </row>
    <row r="80" ht="15.75" customHeight="1">
      <c r="A80" s="41" t="s">
        <v>2693</v>
      </c>
      <c r="B80" s="41" t="s">
        <v>2984</v>
      </c>
      <c r="C80" s="41" t="s">
        <v>3209</v>
      </c>
      <c r="D80" s="41" t="s">
        <v>3211</v>
      </c>
      <c r="E80" s="41" t="s">
        <v>2992</v>
      </c>
    </row>
    <row r="81" ht="15.75" customHeight="1">
      <c r="A81" s="43">
        <v>1.0</v>
      </c>
      <c r="B81" s="13" t="s">
        <v>3217</v>
      </c>
      <c r="C81" s="13" t="s">
        <v>3220</v>
      </c>
      <c r="D81" s="13" t="s">
        <v>2886</v>
      </c>
      <c r="E81" s="13" t="s">
        <v>2889</v>
      </c>
    </row>
    <row r="82" ht="15.75" customHeight="1">
      <c r="A82" s="43">
        <v>2.0</v>
      </c>
      <c r="B82" s="13" t="s">
        <v>3228</v>
      </c>
      <c r="C82" s="13" t="s">
        <v>3231</v>
      </c>
      <c r="D82" s="13" t="s">
        <v>3233</v>
      </c>
      <c r="E82" s="13" t="s">
        <v>2889</v>
      </c>
    </row>
    <row r="83" ht="15.75" customHeight="1">
      <c r="A83" s="43">
        <v>3.0</v>
      </c>
      <c r="B83" s="13" t="s">
        <v>3235</v>
      </c>
      <c r="C83" s="13" t="s">
        <v>3236</v>
      </c>
      <c r="D83" s="13" t="s">
        <v>3238</v>
      </c>
      <c r="E83" s="13" t="s">
        <v>3240</v>
      </c>
    </row>
    <row r="84" ht="15.75" customHeight="1">
      <c r="A84" s="43">
        <v>4.0</v>
      </c>
      <c r="B84" s="13" t="s">
        <v>3243</v>
      </c>
      <c r="C84" s="13" t="s">
        <v>3246</v>
      </c>
      <c r="D84" s="13" t="s">
        <v>2852</v>
      </c>
      <c r="E84" s="13" t="s">
        <v>2853</v>
      </c>
    </row>
    <row r="85" ht="15.75" customHeight="1">
      <c r="A85" s="43">
        <v>5.0</v>
      </c>
      <c r="B85" s="13" t="s">
        <v>3254</v>
      </c>
      <c r="C85" s="13" t="s">
        <v>3256</v>
      </c>
      <c r="D85" s="13" t="s">
        <v>2858</v>
      </c>
      <c r="E85" s="13" t="s">
        <v>2860</v>
      </c>
    </row>
    <row r="86" ht="15.75" customHeight="1">
      <c r="A86" s="43">
        <v>6.0</v>
      </c>
      <c r="B86" s="13" t="s">
        <v>2997</v>
      </c>
      <c r="C86" s="13" t="s">
        <v>3270</v>
      </c>
      <c r="D86" s="13" t="s">
        <v>3272</v>
      </c>
      <c r="E86" s="13" t="s">
        <v>2860</v>
      </c>
    </row>
    <row r="87" ht="15.75" customHeight="1">
      <c r="A87" s="43">
        <v>7.0</v>
      </c>
      <c r="B87" s="13" t="s">
        <v>3279</v>
      </c>
      <c r="C87" s="13" t="s">
        <v>3280</v>
      </c>
      <c r="D87" s="13" t="s">
        <v>2878</v>
      </c>
      <c r="E87" s="13" t="s">
        <v>2871</v>
      </c>
    </row>
    <row r="88" ht="15.75" customHeight="1">
      <c r="A88" s="43">
        <v>8.0</v>
      </c>
      <c r="B88" s="13" t="s">
        <v>3295</v>
      </c>
      <c r="C88" s="13" t="s">
        <v>3300</v>
      </c>
      <c r="D88" s="13" t="s">
        <v>3304</v>
      </c>
      <c r="E88" s="13" t="s">
        <v>2871</v>
      </c>
    </row>
    <row r="89" ht="15.75" customHeight="1">
      <c r="A89" s="42" t="s">
        <v>937</v>
      </c>
    </row>
    <row r="90" ht="15.75" customHeight="1"/>
    <row r="91" ht="15.75" customHeight="1"/>
    <row r="92" ht="15.75" customHeight="1">
      <c r="A92" s="25" t="s">
        <v>3316</v>
      </c>
      <c r="B92" s="26"/>
      <c r="C92" s="26"/>
      <c r="D92" s="26"/>
    </row>
    <row r="93" ht="15.75" customHeight="1">
      <c r="A93" s="27" t="s">
        <v>2747</v>
      </c>
      <c r="B93" s="26"/>
      <c r="C93" s="26"/>
      <c r="D93" s="26"/>
    </row>
    <row r="94" ht="15.75" customHeight="1">
      <c r="A94" s="41" t="s">
        <v>2752</v>
      </c>
      <c r="B94" s="41" t="s">
        <v>2695</v>
      </c>
      <c r="C94" s="41" t="s">
        <v>2756</v>
      </c>
      <c r="D94" s="41" t="s">
        <v>2758</v>
      </c>
    </row>
    <row r="95" ht="15.75" customHeight="1">
      <c r="A95" s="43">
        <v>1.0</v>
      </c>
      <c r="B95" s="13" t="s">
        <v>3343</v>
      </c>
      <c r="C95" s="13" t="s">
        <v>3345</v>
      </c>
      <c r="D95" s="13" t="s">
        <v>3350</v>
      </c>
    </row>
    <row r="96" ht="15.75" customHeight="1">
      <c r="A96" s="43">
        <v>2.0</v>
      </c>
      <c r="B96" s="13" t="s">
        <v>3355</v>
      </c>
      <c r="C96" s="13" t="s">
        <v>3357</v>
      </c>
      <c r="D96" s="13" t="s">
        <v>3359</v>
      </c>
    </row>
    <row r="97" ht="15.75" customHeight="1">
      <c r="A97" s="43">
        <v>3.0</v>
      </c>
      <c r="B97" s="13" t="s">
        <v>3363</v>
      </c>
      <c r="C97" s="13" t="s">
        <v>3365</v>
      </c>
      <c r="D97" s="13" t="s">
        <v>3368</v>
      </c>
    </row>
    <row r="98" ht="15.75" customHeight="1">
      <c r="A98" s="43">
        <v>4.0</v>
      </c>
      <c r="B98" s="13" t="s">
        <v>3371</v>
      </c>
      <c r="C98" s="13" t="s">
        <v>3374</v>
      </c>
      <c r="D98" s="13" t="s">
        <v>3375</v>
      </c>
    </row>
    <row r="99" ht="15.75" customHeight="1">
      <c r="A99" s="43">
        <v>5.0</v>
      </c>
      <c r="B99" s="13" t="s">
        <v>3379</v>
      </c>
      <c r="C99" s="13" t="s">
        <v>3381</v>
      </c>
      <c r="D99" s="13" t="s">
        <v>3384</v>
      </c>
    </row>
    <row r="100" ht="15.75" customHeight="1">
      <c r="A100" s="43">
        <v>6.0</v>
      </c>
      <c r="B100" s="13" t="s">
        <v>3388</v>
      </c>
      <c r="C100" s="13" t="s">
        <v>3390</v>
      </c>
      <c r="D100" s="13" t="s">
        <v>3392</v>
      </c>
    </row>
    <row r="101" ht="15.75" customHeight="1">
      <c r="A101" s="43">
        <v>7.0</v>
      </c>
      <c r="B101" s="13" t="s">
        <v>3397</v>
      </c>
      <c r="C101" s="13" t="s">
        <v>3400</v>
      </c>
      <c r="D101" s="13" t="s">
        <v>3402</v>
      </c>
    </row>
    <row r="102" ht="15.75" customHeight="1">
      <c r="A102" s="42" t="s">
        <v>1024</v>
      </c>
    </row>
    <row r="103" ht="15.75" customHeight="1"/>
    <row r="104" ht="15.75" customHeight="1"/>
    <row r="105" ht="15.75" customHeight="1">
      <c r="A105" s="25" t="s">
        <v>3407</v>
      </c>
      <c r="B105" s="26"/>
      <c r="C105" s="26"/>
      <c r="D105" s="26"/>
      <c r="E105" s="26"/>
    </row>
    <row r="106" ht="15.75" customHeight="1">
      <c r="A106" s="27" t="s">
        <v>3413</v>
      </c>
      <c r="B106" s="26"/>
      <c r="C106" s="26"/>
      <c r="D106" s="26"/>
      <c r="E106" s="26"/>
    </row>
    <row r="107" ht="15.75" customHeight="1">
      <c r="A107" s="41" t="s">
        <v>2693</v>
      </c>
      <c r="B107" s="41" t="s">
        <v>2984</v>
      </c>
      <c r="C107" s="41" t="s">
        <v>3426</v>
      </c>
      <c r="D107" s="41" t="s">
        <v>2989</v>
      </c>
      <c r="E107" s="41" t="s">
        <v>2992</v>
      </c>
    </row>
    <row r="108" ht="15.75" customHeight="1">
      <c r="A108" s="43">
        <v>1.0</v>
      </c>
      <c r="B108" s="13" t="s">
        <v>3436</v>
      </c>
      <c r="C108" s="13" t="s">
        <v>3439</v>
      </c>
      <c r="D108" s="13" t="s">
        <v>3443</v>
      </c>
      <c r="E108" s="13" t="s">
        <v>3006</v>
      </c>
    </row>
    <row r="109" ht="15.75" customHeight="1">
      <c r="A109" s="43">
        <v>2.0</v>
      </c>
      <c r="B109" s="13" t="s">
        <v>3450</v>
      </c>
      <c r="C109" s="13" t="s">
        <v>3451</v>
      </c>
      <c r="D109" s="13" t="s">
        <v>3452</v>
      </c>
      <c r="E109" s="13" t="s">
        <v>3347</v>
      </c>
    </row>
    <row r="110" ht="15.75" customHeight="1">
      <c r="A110" s="43">
        <v>3.0</v>
      </c>
      <c r="B110" s="13" t="s">
        <v>3458</v>
      </c>
      <c r="C110" s="13" t="s">
        <v>3463</v>
      </c>
      <c r="D110" s="13" t="s">
        <v>3465</v>
      </c>
      <c r="E110" s="13" t="s">
        <v>2853</v>
      </c>
    </row>
    <row r="111" ht="15.75" customHeight="1">
      <c r="A111" s="43">
        <v>4.0</v>
      </c>
      <c r="B111" s="13" t="s">
        <v>3477</v>
      </c>
      <c r="C111" s="13" t="s">
        <v>3482</v>
      </c>
      <c r="D111" s="13" t="s">
        <v>3487</v>
      </c>
      <c r="E111" s="13" t="s">
        <v>2889</v>
      </c>
    </row>
    <row r="112" ht="15.75" customHeight="1">
      <c r="A112" s="43">
        <v>5.0</v>
      </c>
      <c r="B112" s="13" t="s">
        <v>3496</v>
      </c>
      <c r="C112" s="13" t="s">
        <v>3503</v>
      </c>
      <c r="D112" s="13" t="s">
        <v>3505</v>
      </c>
      <c r="E112" s="13" t="s">
        <v>2860</v>
      </c>
    </row>
    <row r="113" ht="15.75" customHeight="1">
      <c r="A113" s="43">
        <v>6.0</v>
      </c>
      <c r="B113" s="13" t="s">
        <v>3515</v>
      </c>
      <c r="C113" s="13" t="s">
        <v>3517</v>
      </c>
      <c r="D113" s="13" t="s">
        <v>3425</v>
      </c>
      <c r="E113" s="13" t="s">
        <v>2860</v>
      </c>
    </row>
    <row r="114" ht="15.75" customHeight="1">
      <c r="A114" s="43">
        <v>7.0</v>
      </c>
      <c r="B114" s="13" t="s">
        <v>3527</v>
      </c>
      <c r="C114" s="13" t="s">
        <v>3531</v>
      </c>
      <c r="D114" s="13" t="s">
        <v>3536</v>
      </c>
      <c r="E114" s="13" t="s">
        <v>2871</v>
      </c>
    </row>
    <row r="115" ht="15.75" customHeight="1">
      <c r="A115" s="42" t="s">
        <v>1026</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6" width="26.0"/>
    <col customWidth="1" min="7" max="26" width="8.71"/>
  </cols>
  <sheetData>
    <row r="1">
      <c r="A1" s="12" t="s">
        <v>2754</v>
      </c>
    </row>
    <row r="2">
      <c r="A2" s="24" t="s">
        <v>2757</v>
      </c>
    </row>
    <row r="4">
      <c r="A4" s="25" t="s">
        <v>2760</v>
      </c>
      <c r="B4" s="26"/>
      <c r="C4" s="26"/>
      <c r="D4" s="26"/>
    </row>
    <row r="5">
      <c r="A5" s="27" t="s">
        <v>2768</v>
      </c>
      <c r="B5" s="26"/>
      <c r="C5" s="26"/>
      <c r="D5" s="26"/>
    </row>
    <row r="6">
      <c r="A6" s="41" t="s">
        <v>2774</v>
      </c>
      <c r="B6" s="41" t="s">
        <v>2777</v>
      </c>
      <c r="C6" s="41" t="s">
        <v>519</v>
      </c>
    </row>
    <row r="7">
      <c r="A7" s="13" t="s">
        <v>2783</v>
      </c>
      <c r="B7" s="13" t="s">
        <v>2785</v>
      </c>
      <c r="C7" s="13" t="s">
        <v>2789</v>
      </c>
    </row>
    <row r="8">
      <c r="A8" s="13" t="s">
        <v>2793</v>
      </c>
      <c r="B8" s="43">
        <v>68.0</v>
      </c>
      <c r="C8" s="13" t="s">
        <v>2798</v>
      </c>
    </row>
    <row r="9">
      <c r="A9" s="13" t="s">
        <v>2801</v>
      </c>
      <c r="B9" s="13" t="s">
        <v>2804</v>
      </c>
      <c r="C9" s="13" t="s">
        <v>2806</v>
      </c>
    </row>
    <row r="10">
      <c r="A10" s="13" t="s">
        <v>2807</v>
      </c>
      <c r="B10" s="13" t="s">
        <v>2810</v>
      </c>
      <c r="C10" s="13" t="s">
        <v>2812</v>
      </c>
    </row>
    <row r="11">
      <c r="A11" s="13" t="s">
        <v>2815</v>
      </c>
      <c r="B11" s="13" t="s">
        <v>2817</v>
      </c>
      <c r="C11" s="13" t="s">
        <v>2820</v>
      </c>
    </row>
    <row r="12">
      <c r="A12" s="13" t="s">
        <v>2823</v>
      </c>
      <c r="B12" s="13" t="s">
        <v>2825</v>
      </c>
      <c r="C12" s="13" t="s">
        <v>2826</v>
      </c>
    </row>
    <row r="13">
      <c r="A13" s="13" t="s">
        <v>2828</v>
      </c>
      <c r="B13" s="13" t="s">
        <v>2830</v>
      </c>
      <c r="C13" s="13" t="s">
        <v>2832</v>
      </c>
    </row>
    <row r="14">
      <c r="A14" s="13" t="s">
        <v>2833</v>
      </c>
      <c r="B14" s="43">
        <v>66.0</v>
      </c>
      <c r="C14" s="13" t="s">
        <v>2834</v>
      </c>
    </row>
    <row r="15">
      <c r="A15" s="13" t="s">
        <v>2836</v>
      </c>
      <c r="B15" s="43">
        <v>64.0</v>
      </c>
      <c r="C15" s="13" t="s">
        <v>2837</v>
      </c>
    </row>
    <row r="16">
      <c r="A16" s="13" t="s">
        <v>2838</v>
      </c>
      <c r="B16" s="13" t="s">
        <v>2839</v>
      </c>
      <c r="C16" s="13" t="s">
        <v>2841</v>
      </c>
    </row>
    <row r="17">
      <c r="A17" s="13" t="s">
        <v>2842</v>
      </c>
      <c r="B17" s="13" t="s">
        <v>2839</v>
      </c>
      <c r="C17" s="13" t="s">
        <v>2843</v>
      </c>
    </row>
    <row r="18">
      <c r="A18" s="13" t="s">
        <v>2844</v>
      </c>
      <c r="B18" s="13" t="s">
        <v>2845</v>
      </c>
      <c r="C18" s="13" t="s">
        <v>2846</v>
      </c>
    </row>
    <row r="19">
      <c r="A19" s="13" t="s">
        <v>2847</v>
      </c>
      <c r="B19" s="43">
        <v>92.0</v>
      </c>
      <c r="C19" s="13" t="s">
        <v>2849</v>
      </c>
    </row>
    <row r="21" ht="15.75" customHeight="1"/>
    <row r="22" ht="15.75" customHeight="1">
      <c r="A22" s="25" t="s">
        <v>2851</v>
      </c>
      <c r="B22" s="26"/>
      <c r="C22" s="26"/>
      <c r="D22" s="26"/>
      <c r="E22" s="26"/>
    </row>
    <row r="23" ht="15.75" customHeight="1">
      <c r="A23" s="27" t="s">
        <v>2854</v>
      </c>
      <c r="B23" s="26"/>
      <c r="C23" s="26"/>
      <c r="D23" s="26"/>
      <c r="E23" s="26"/>
    </row>
    <row r="24" ht="15.75" customHeight="1">
      <c r="A24" s="41" t="s">
        <v>2693</v>
      </c>
      <c r="B24" s="41" t="s">
        <v>2857</v>
      </c>
      <c r="C24" s="41" t="s">
        <v>2777</v>
      </c>
      <c r="D24" s="41" t="s">
        <v>2859</v>
      </c>
      <c r="E24" s="41" t="s">
        <v>2861</v>
      </c>
    </row>
    <row r="25" ht="15.75" customHeight="1">
      <c r="A25" s="43">
        <v>1.0</v>
      </c>
      <c r="B25" s="13" t="s">
        <v>2862</v>
      </c>
      <c r="C25" s="13" t="s">
        <v>2864</v>
      </c>
      <c r="D25" s="13" t="s">
        <v>2865</v>
      </c>
      <c r="E25" s="13" t="s">
        <v>2866</v>
      </c>
    </row>
    <row r="26" ht="15.75" customHeight="1">
      <c r="A26" s="43">
        <v>2.0</v>
      </c>
      <c r="B26" s="13" t="s">
        <v>2869</v>
      </c>
      <c r="C26" s="13" t="s">
        <v>2870</v>
      </c>
      <c r="D26" s="13" t="s">
        <v>2872</v>
      </c>
      <c r="E26" s="13" t="s">
        <v>2866</v>
      </c>
    </row>
    <row r="27" ht="15.75" customHeight="1">
      <c r="A27" s="43">
        <v>3.0</v>
      </c>
      <c r="B27" s="13" t="s">
        <v>2873</v>
      </c>
      <c r="C27" s="13" t="s">
        <v>2875</v>
      </c>
      <c r="D27" s="13" t="s">
        <v>2872</v>
      </c>
      <c r="E27" s="13" t="s">
        <v>2877</v>
      </c>
    </row>
    <row r="28" ht="15.75" customHeight="1">
      <c r="A28" s="43">
        <v>4.0</v>
      </c>
      <c r="B28" s="13" t="s">
        <v>2879</v>
      </c>
      <c r="C28" s="13" t="s">
        <v>2880</v>
      </c>
      <c r="D28" s="13" t="s">
        <v>2881</v>
      </c>
      <c r="E28" s="13" t="s">
        <v>2877</v>
      </c>
    </row>
    <row r="29" ht="15.75" customHeight="1">
      <c r="A29" s="43">
        <v>5.0</v>
      </c>
      <c r="B29" s="13" t="s">
        <v>2883</v>
      </c>
      <c r="C29" s="13" t="s">
        <v>2885</v>
      </c>
      <c r="D29" s="13" t="s">
        <v>2887</v>
      </c>
      <c r="E29" s="13" t="s">
        <v>2888</v>
      </c>
    </row>
    <row r="30" ht="15.75" customHeight="1">
      <c r="A30" s="43">
        <v>6.0</v>
      </c>
      <c r="B30" s="13" t="s">
        <v>2890</v>
      </c>
      <c r="C30" s="13" t="s">
        <v>2891</v>
      </c>
      <c r="D30" s="13" t="s">
        <v>2893</v>
      </c>
      <c r="E30" s="13" t="s">
        <v>2888</v>
      </c>
    </row>
    <row r="31" ht="15.75" customHeight="1">
      <c r="A31" s="43">
        <v>7.0</v>
      </c>
      <c r="B31" s="13" t="s">
        <v>2894</v>
      </c>
      <c r="C31" s="13" t="s">
        <v>2895</v>
      </c>
      <c r="D31" s="13" t="s">
        <v>2896</v>
      </c>
      <c r="E31" s="13" t="s">
        <v>2897</v>
      </c>
    </row>
    <row r="32" ht="15.75" customHeight="1">
      <c r="A32" s="43">
        <v>8.0</v>
      </c>
      <c r="B32" s="13" t="s">
        <v>2898</v>
      </c>
      <c r="C32" s="13" t="s">
        <v>2899</v>
      </c>
      <c r="D32" s="13" t="s">
        <v>2900</v>
      </c>
      <c r="E32" s="13" t="s">
        <v>2897</v>
      </c>
    </row>
    <row r="33" ht="15.75" customHeight="1">
      <c r="A33" s="43">
        <v>9.0</v>
      </c>
      <c r="B33" s="13" t="s">
        <v>2903</v>
      </c>
      <c r="C33" s="13" t="s">
        <v>2905</v>
      </c>
      <c r="D33" s="13" t="s">
        <v>2906</v>
      </c>
      <c r="E33" s="13" t="s">
        <v>2908</v>
      </c>
    </row>
    <row r="34" ht="15.75" customHeight="1">
      <c r="A34" s="43">
        <v>10.0</v>
      </c>
      <c r="B34" s="13" t="s">
        <v>2910</v>
      </c>
      <c r="C34" s="13" t="s">
        <v>2912</v>
      </c>
      <c r="D34" s="13" t="s">
        <v>2914</v>
      </c>
      <c r="E34" s="13" t="s">
        <v>2897</v>
      </c>
    </row>
    <row r="35" ht="15.75" customHeight="1">
      <c r="A35" s="43">
        <v>11.0</v>
      </c>
      <c r="B35" s="13" t="s">
        <v>2917</v>
      </c>
      <c r="C35" s="13" t="s">
        <v>2919</v>
      </c>
      <c r="D35" s="13" t="s">
        <v>2920</v>
      </c>
      <c r="E35" s="13" t="s">
        <v>2897</v>
      </c>
    </row>
    <row r="36" ht="15.75" customHeight="1"/>
    <row r="37" ht="15.75" customHeight="1"/>
    <row r="38" ht="15.75" customHeight="1">
      <c r="A38" s="25" t="s">
        <v>2924</v>
      </c>
      <c r="B38" s="26"/>
      <c r="C38" s="26"/>
      <c r="D38" s="26"/>
      <c r="E38" s="26"/>
    </row>
    <row r="39" ht="15.75" customHeight="1">
      <c r="A39" s="27" t="s">
        <v>2931</v>
      </c>
      <c r="B39" s="26"/>
      <c r="C39" s="26"/>
      <c r="D39" s="26"/>
      <c r="E39" s="26"/>
    </row>
    <row r="40" ht="15.75" customHeight="1">
      <c r="A40" s="41" t="s">
        <v>2938</v>
      </c>
      <c r="B40" s="41"/>
      <c r="C40" s="41" t="s">
        <v>2940</v>
      </c>
      <c r="D40" s="41"/>
      <c r="E40" s="41" t="s">
        <v>2944</v>
      </c>
    </row>
    <row r="41" ht="15.75" customHeight="1"/>
    <row r="42" ht="15.75" customHeight="1"/>
    <row r="43" ht="15.75" customHeight="1">
      <c r="A43" s="25" t="s">
        <v>2947</v>
      </c>
      <c r="B43" s="26"/>
      <c r="C43" s="26"/>
      <c r="D43" s="26"/>
      <c r="E43" s="26"/>
    </row>
    <row r="44" ht="15.75" customHeight="1">
      <c r="A44" s="27" t="s">
        <v>2952</v>
      </c>
      <c r="B44" s="26"/>
      <c r="C44" s="26"/>
      <c r="D44" s="26"/>
      <c r="E44" s="26"/>
    </row>
    <row r="45" ht="15.75" customHeight="1">
      <c r="A45" s="41" t="s">
        <v>2958</v>
      </c>
      <c r="B45" s="41"/>
      <c r="C45" s="41" t="s">
        <v>2961</v>
      </c>
      <c r="D45" s="41"/>
      <c r="E45" s="41" t="s">
        <v>2964</v>
      </c>
    </row>
    <row r="46" ht="15.75" customHeight="1"/>
    <row r="47" ht="15.75" customHeight="1"/>
    <row r="48" ht="15.75" customHeight="1">
      <c r="A48" s="25" t="s">
        <v>2967</v>
      </c>
      <c r="B48" s="26"/>
      <c r="C48" s="26"/>
      <c r="D48" s="26"/>
      <c r="E48" s="26"/>
      <c r="F48" s="26"/>
    </row>
    <row r="49" ht="15.75" customHeight="1">
      <c r="A49" s="27" t="s">
        <v>2973</v>
      </c>
      <c r="B49" s="26"/>
      <c r="C49" s="26"/>
      <c r="D49" s="26"/>
      <c r="E49" s="26"/>
      <c r="F49" s="26"/>
    </row>
    <row r="50" ht="15.75" customHeight="1">
      <c r="A50" s="41" t="s">
        <v>2693</v>
      </c>
      <c r="B50" s="41" t="s">
        <v>2857</v>
      </c>
      <c r="C50" s="41" t="s">
        <v>2981</v>
      </c>
      <c r="D50" s="41" t="s">
        <v>2983</v>
      </c>
      <c r="E50" s="41" t="s">
        <v>2859</v>
      </c>
      <c r="F50" s="41" t="s">
        <v>2988</v>
      </c>
    </row>
    <row r="51" ht="15.75" customHeight="1">
      <c r="A51" s="43">
        <v>1.0</v>
      </c>
      <c r="B51" s="13" t="s">
        <v>2993</v>
      </c>
      <c r="C51" s="13" t="s">
        <v>2994</v>
      </c>
      <c r="D51" s="13" t="s">
        <v>2996</v>
      </c>
      <c r="E51" s="13" t="s">
        <v>2998</v>
      </c>
      <c r="F51" s="13" t="s">
        <v>2866</v>
      </c>
    </row>
    <row r="52" ht="15.75" customHeight="1">
      <c r="A52" s="43">
        <v>2.0</v>
      </c>
      <c r="B52" s="13" t="s">
        <v>3004</v>
      </c>
      <c r="C52" s="13" t="s">
        <v>3007</v>
      </c>
      <c r="D52" s="13" t="s">
        <v>2996</v>
      </c>
      <c r="E52" s="13" t="s">
        <v>3009</v>
      </c>
      <c r="F52" s="13" t="s">
        <v>2877</v>
      </c>
    </row>
    <row r="53" ht="15.75" customHeight="1">
      <c r="A53" s="13" t="s">
        <v>3014</v>
      </c>
      <c r="B53" s="13" t="s">
        <v>3016</v>
      </c>
      <c r="C53" s="13" t="s">
        <v>3020</v>
      </c>
      <c r="D53" s="13" t="s">
        <v>3022</v>
      </c>
      <c r="E53" s="13" t="s">
        <v>2887</v>
      </c>
      <c r="F53" s="13" t="s">
        <v>2888</v>
      </c>
    </row>
    <row r="54" ht="15.75" customHeight="1">
      <c r="A54" s="13" t="s">
        <v>3026</v>
      </c>
      <c r="B54" s="13" t="s">
        <v>3029</v>
      </c>
      <c r="C54" s="13" t="s">
        <v>3032</v>
      </c>
      <c r="D54" s="13" t="s">
        <v>3034</v>
      </c>
      <c r="E54" s="13" t="s">
        <v>3036</v>
      </c>
      <c r="F54" s="13" t="s">
        <v>2888</v>
      </c>
    </row>
    <row r="55" ht="15.75" customHeight="1">
      <c r="A55" s="43">
        <v>4.0</v>
      </c>
      <c r="B55" s="13" t="s">
        <v>2894</v>
      </c>
      <c r="C55" s="13" t="s">
        <v>3042</v>
      </c>
      <c r="D55" s="13" t="s">
        <v>3045</v>
      </c>
      <c r="E55" s="13" t="s">
        <v>2896</v>
      </c>
      <c r="F55" s="13" t="s">
        <v>2897</v>
      </c>
    </row>
    <row r="56" ht="15.75" customHeight="1">
      <c r="A56" s="43">
        <v>5.0</v>
      </c>
      <c r="B56" s="13" t="s">
        <v>3050</v>
      </c>
      <c r="C56" s="13" t="s">
        <v>3052</v>
      </c>
      <c r="D56" s="13" t="s">
        <v>3053</v>
      </c>
      <c r="E56" s="13" t="s">
        <v>3054</v>
      </c>
      <c r="F56" s="13" t="s">
        <v>2897</v>
      </c>
    </row>
    <row r="57" ht="15.75" customHeight="1">
      <c r="A57" s="43">
        <v>6.0</v>
      </c>
      <c r="B57" s="13" t="s">
        <v>3060</v>
      </c>
      <c r="C57" s="13" t="s">
        <v>3062</v>
      </c>
      <c r="D57" s="13" t="s">
        <v>3064</v>
      </c>
      <c r="E57" s="13" t="s">
        <v>3065</v>
      </c>
      <c r="F57" s="13" t="s">
        <v>2897</v>
      </c>
    </row>
    <row r="58" ht="15.75" customHeight="1">
      <c r="A58" s="43">
        <v>7.0</v>
      </c>
      <c r="B58" s="13" t="s">
        <v>3068</v>
      </c>
      <c r="C58" s="13" t="s">
        <v>3071</v>
      </c>
      <c r="D58" s="13" t="s">
        <v>3072</v>
      </c>
      <c r="E58" s="13" t="s">
        <v>3073</v>
      </c>
      <c r="F58" s="13" t="s">
        <v>2908</v>
      </c>
    </row>
    <row r="59" ht="15.75" customHeight="1">
      <c r="A59" s="43">
        <v>8.0</v>
      </c>
      <c r="B59" s="13" t="s">
        <v>2910</v>
      </c>
      <c r="C59" s="13" t="s">
        <v>3075</v>
      </c>
      <c r="D59" s="13" t="s">
        <v>3078</v>
      </c>
      <c r="E59" s="13" t="s">
        <v>3080</v>
      </c>
      <c r="F59" s="13" t="s">
        <v>2897</v>
      </c>
    </row>
    <row r="60" ht="15.75" customHeight="1">
      <c r="A60" s="42" t="s">
        <v>601</v>
      </c>
    </row>
    <row r="61" ht="15.75" customHeight="1"/>
    <row r="62" ht="15.75" customHeight="1"/>
    <row r="63" ht="15.75" customHeight="1">
      <c r="A63" s="25" t="s">
        <v>3084</v>
      </c>
      <c r="B63" s="26"/>
      <c r="C63" s="26"/>
      <c r="D63" s="26"/>
      <c r="E63" s="26"/>
    </row>
    <row r="64" ht="15.75" customHeight="1">
      <c r="A64" s="27" t="s">
        <v>2931</v>
      </c>
      <c r="B64" s="26"/>
      <c r="C64" s="26"/>
      <c r="D64" s="26"/>
      <c r="E64" s="26"/>
    </row>
    <row r="65" ht="15.75" customHeight="1">
      <c r="A65" s="41" t="s">
        <v>3092</v>
      </c>
      <c r="B65" s="41"/>
      <c r="C65" s="41" t="s">
        <v>3094</v>
      </c>
      <c r="D65" s="41"/>
      <c r="E65" s="41" t="s">
        <v>3095</v>
      </c>
    </row>
    <row r="66" ht="15.75" customHeight="1">
      <c r="A66" s="13" t="s">
        <v>3096</v>
      </c>
      <c r="B66" s="13"/>
      <c r="C66" s="13" t="s">
        <v>3098</v>
      </c>
      <c r="D66" s="13"/>
      <c r="E66" s="13" t="s">
        <v>3101</v>
      </c>
    </row>
    <row r="67" ht="15.75" customHeight="1">
      <c r="A67" s="13" t="s">
        <v>3103</v>
      </c>
      <c r="B67" s="13"/>
      <c r="C67" s="13" t="s">
        <v>3106</v>
      </c>
      <c r="D67" s="13"/>
      <c r="E67" s="13" t="s">
        <v>3108</v>
      </c>
    </row>
    <row r="68" ht="15.75" customHeight="1"/>
    <row r="69" ht="15.75" customHeight="1"/>
    <row r="70" ht="15.75" customHeight="1">
      <c r="A70" s="25" t="s">
        <v>3110</v>
      </c>
      <c r="B70" s="26"/>
      <c r="C70" s="26"/>
      <c r="D70" s="26"/>
      <c r="E70" s="26"/>
      <c r="F70" s="26"/>
    </row>
    <row r="71" ht="15.75" customHeight="1">
      <c r="A71" s="27" t="s">
        <v>2973</v>
      </c>
      <c r="B71" s="26"/>
      <c r="C71" s="26"/>
      <c r="D71" s="26"/>
      <c r="E71" s="26"/>
      <c r="F71" s="26"/>
    </row>
    <row r="72" ht="15.75" customHeight="1">
      <c r="A72" s="41" t="s">
        <v>2693</v>
      </c>
      <c r="B72" s="41" t="s">
        <v>2857</v>
      </c>
      <c r="C72" s="41" t="s">
        <v>2981</v>
      </c>
      <c r="D72" s="41" t="s">
        <v>2983</v>
      </c>
      <c r="E72" s="41" t="s">
        <v>2859</v>
      </c>
      <c r="F72" s="41" t="s">
        <v>2988</v>
      </c>
    </row>
    <row r="73" ht="15.75" customHeight="1">
      <c r="A73" s="43">
        <v>1.0</v>
      </c>
      <c r="B73" s="13" t="s">
        <v>3126</v>
      </c>
      <c r="C73" s="13" t="s">
        <v>3128</v>
      </c>
      <c r="D73" s="13" t="s">
        <v>3129</v>
      </c>
      <c r="E73" s="13" t="s">
        <v>3132</v>
      </c>
      <c r="F73" s="13" t="s">
        <v>2866</v>
      </c>
    </row>
    <row r="74" ht="15.75" customHeight="1">
      <c r="A74" s="43">
        <v>2.0</v>
      </c>
      <c r="B74" s="13" t="s">
        <v>3137</v>
      </c>
      <c r="C74" s="13" t="s">
        <v>3139</v>
      </c>
      <c r="D74" s="13" t="s">
        <v>3141</v>
      </c>
      <c r="E74" s="13" t="s">
        <v>3143</v>
      </c>
      <c r="F74" s="13" t="s">
        <v>2877</v>
      </c>
    </row>
    <row r="75" ht="15.75" customHeight="1">
      <c r="A75" s="13" t="s">
        <v>3014</v>
      </c>
      <c r="B75" s="13" t="s">
        <v>3148</v>
      </c>
      <c r="C75" s="13" t="s">
        <v>3150</v>
      </c>
      <c r="D75" s="13" t="s">
        <v>3152</v>
      </c>
      <c r="E75" s="13" t="s">
        <v>3154</v>
      </c>
      <c r="F75" s="13" t="s">
        <v>2888</v>
      </c>
    </row>
    <row r="76" ht="15.75" customHeight="1">
      <c r="A76" s="13" t="s">
        <v>3026</v>
      </c>
      <c r="B76" s="13" t="s">
        <v>3158</v>
      </c>
      <c r="C76" s="13" t="s">
        <v>3160</v>
      </c>
      <c r="D76" s="13" t="s">
        <v>3163</v>
      </c>
      <c r="E76" s="13" t="s">
        <v>3165</v>
      </c>
      <c r="F76" s="13" t="s">
        <v>2897</v>
      </c>
    </row>
    <row r="77" ht="15.75" customHeight="1">
      <c r="A77" s="43">
        <v>4.0</v>
      </c>
      <c r="B77" s="13" t="s">
        <v>3166</v>
      </c>
      <c r="C77" s="13" t="s">
        <v>3168</v>
      </c>
      <c r="D77" s="13" t="s">
        <v>3171</v>
      </c>
      <c r="E77" s="13" t="s">
        <v>3173</v>
      </c>
      <c r="F77" s="13" t="s">
        <v>2877</v>
      </c>
    </row>
    <row r="78" ht="15.75" customHeight="1">
      <c r="A78" s="43">
        <v>5.0</v>
      </c>
      <c r="B78" s="13" t="s">
        <v>3176</v>
      </c>
      <c r="C78" s="13" t="s">
        <v>3177</v>
      </c>
      <c r="D78" s="13" t="s">
        <v>3180</v>
      </c>
      <c r="E78" s="13" t="s">
        <v>3182</v>
      </c>
      <c r="F78" s="13" t="s">
        <v>3184</v>
      </c>
    </row>
    <row r="79" ht="15.75" customHeight="1">
      <c r="A79" s="43">
        <v>6.0</v>
      </c>
      <c r="B79" s="13" t="s">
        <v>3187</v>
      </c>
      <c r="C79" s="13" t="s">
        <v>3189</v>
      </c>
      <c r="D79" s="13" t="s">
        <v>3190</v>
      </c>
      <c r="E79" s="13" t="s">
        <v>3191</v>
      </c>
      <c r="F79" s="13" t="s">
        <v>2897</v>
      </c>
    </row>
    <row r="80" ht="15.75" customHeight="1">
      <c r="A80" s="43">
        <v>7.0</v>
      </c>
      <c r="B80" s="13" t="s">
        <v>3195</v>
      </c>
      <c r="C80" s="13" t="s">
        <v>3196</v>
      </c>
      <c r="D80" s="13" t="s">
        <v>3197</v>
      </c>
      <c r="E80" s="13" t="s">
        <v>3198</v>
      </c>
      <c r="F80" s="13" t="s">
        <v>2897</v>
      </c>
    </row>
    <row r="81" ht="15.75" customHeight="1">
      <c r="A81" s="43">
        <v>8.0</v>
      </c>
      <c r="B81" s="13" t="s">
        <v>3201</v>
      </c>
      <c r="C81" s="13" t="s">
        <v>3203</v>
      </c>
      <c r="D81" s="13" t="s">
        <v>3204</v>
      </c>
      <c r="E81" s="13" t="s">
        <v>3206</v>
      </c>
      <c r="F81" s="13" t="s">
        <v>2908</v>
      </c>
    </row>
    <row r="82" ht="15.75" customHeight="1">
      <c r="A82" s="42" t="s">
        <v>816</v>
      </c>
    </row>
    <row r="83" ht="15.75" customHeight="1"/>
    <row r="84" ht="15.75" customHeight="1"/>
    <row r="85" ht="15.75" customHeight="1">
      <c r="A85" s="25" t="s">
        <v>3213</v>
      </c>
      <c r="B85" s="26"/>
      <c r="C85" s="26"/>
      <c r="D85" s="26"/>
    </row>
    <row r="86" ht="15.75" customHeight="1">
      <c r="A86" s="27" t="s">
        <v>3216</v>
      </c>
      <c r="B86" s="26"/>
      <c r="C86" s="26"/>
      <c r="D86" s="26"/>
    </row>
    <row r="87" ht="15.75" customHeight="1">
      <c r="A87" s="41" t="s">
        <v>2131</v>
      </c>
      <c r="B87" s="41" t="s">
        <v>3222</v>
      </c>
      <c r="C87" s="41" t="s">
        <v>3223</v>
      </c>
      <c r="D87" s="41" t="s">
        <v>3224</v>
      </c>
    </row>
    <row r="88" ht="15.75" customHeight="1">
      <c r="A88" s="13" t="s">
        <v>3225</v>
      </c>
      <c r="B88" s="13" t="s">
        <v>3227</v>
      </c>
      <c r="C88" s="13" t="s">
        <v>3229</v>
      </c>
      <c r="D88" s="13" t="s">
        <v>3230</v>
      </c>
    </row>
    <row r="89" ht="15.75" customHeight="1"/>
    <row r="90" ht="15.75" customHeight="1"/>
    <row r="91" ht="15.75" customHeight="1">
      <c r="A91" s="25" t="s">
        <v>3232</v>
      </c>
      <c r="B91" s="26"/>
      <c r="C91" s="26"/>
      <c r="D91" s="26"/>
      <c r="E91" s="26"/>
      <c r="F91" s="26"/>
    </row>
    <row r="92" ht="15.75" customHeight="1">
      <c r="A92" s="27" t="s">
        <v>3234</v>
      </c>
      <c r="B92" s="26"/>
      <c r="C92" s="26"/>
      <c r="D92" s="26"/>
      <c r="E92" s="26"/>
      <c r="F92" s="26"/>
    </row>
    <row r="93" ht="15.75" customHeight="1">
      <c r="A93" s="41" t="s">
        <v>2693</v>
      </c>
      <c r="B93" s="41" t="s">
        <v>2857</v>
      </c>
      <c r="C93" s="41" t="s">
        <v>2981</v>
      </c>
      <c r="D93" s="41" t="s">
        <v>2983</v>
      </c>
      <c r="E93" s="41" t="s">
        <v>2859</v>
      </c>
      <c r="F93" s="41" t="s">
        <v>2988</v>
      </c>
    </row>
    <row r="94" ht="15.75" customHeight="1">
      <c r="A94" s="43">
        <v>1.0</v>
      </c>
      <c r="B94" s="13" t="s">
        <v>3249</v>
      </c>
      <c r="C94" s="13" t="s">
        <v>3251</v>
      </c>
      <c r="D94" s="13" t="s">
        <v>2996</v>
      </c>
      <c r="E94" s="13" t="s">
        <v>2865</v>
      </c>
      <c r="F94" s="13" t="s">
        <v>2866</v>
      </c>
    </row>
    <row r="95" ht="15.75" customHeight="1">
      <c r="A95" s="43">
        <v>2.0</v>
      </c>
      <c r="B95" s="13" t="s">
        <v>3004</v>
      </c>
      <c r="C95" s="13" t="s">
        <v>3260</v>
      </c>
      <c r="D95" s="13" t="s">
        <v>2996</v>
      </c>
      <c r="E95" s="13" t="s">
        <v>3009</v>
      </c>
      <c r="F95" s="13" t="s">
        <v>2877</v>
      </c>
    </row>
    <row r="96" ht="15.75" customHeight="1">
      <c r="A96" s="43">
        <v>3.0</v>
      </c>
      <c r="B96" s="13" t="s">
        <v>2883</v>
      </c>
      <c r="C96" s="13" t="s">
        <v>3268</v>
      </c>
      <c r="D96" s="13" t="s">
        <v>3269</v>
      </c>
      <c r="E96" s="13" t="s">
        <v>2887</v>
      </c>
      <c r="F96" s="13" t="s">
        <v>2888</v>
      </c>
    </row>
    <row r="97" ht="15.75" customHeight="1">
      <c r="A97" s="43">
        <v>4.0</v>
      </c>
      <c r="B97" s="13" t="s">
        <v>2894</v>
      </c>
      <c r="C97" s="13" t="s">
        <v>3274</v>
      </c>
      <c r="D97" s="13" t="s">
        <v>3276</v>
      </c>
      <c r="E97" s="13" t="s">
        <v>2896</v>
      </c>
      <c r="F97" s="13" t="s">
        <v>2897</v>
      </c>
    </row>
    <row r="98" ht="15.75" customHeight="1">
      <c r="A98" s="43">
        <v>5.0</v>
      </c>
      <c r="B98" s="13" t="s">
        <v>3284</v>
      </c>
      <c r="C98" s="13" t="s">
        <v>3287</v>
      </c>
      <c r="D98" s="13" t="s">
        <v>3290</v>
      </c>
      <c r="E98" s="13" t="s">
        <v>3291</v>
      </c>
      <c r="F98" s="13" t="s">
        <v>2897</v>
      </c>
    </row>
    <row r="99" ht="15.75" customHeight="1">
      <c r="A99" s="43">
        <v>6.0</v>
      </c>
      <c r="B99" s="13" t="s">
        <v>3298</v>
      </c>
      <c r="C99" s="13" t="s">
        <v>3302</v>
      </c>
      <c r="D99" s="13" t="s">
        <v>3305</v>
      </c>
      <c r="E99" s="13" t="s">
        <v>3307</v>
      </c>
      <c r="F99" s="13" t="s">
        <v>2897</v>
      </c>
    </row>
    <row r="100" ht="15.75" customHeight="1">
      <c r="A100" s="43">
        <v>7.0</v>
      </c>
      <c r="B100" s="13" t="s">
        <v>2903</v>
      </c>
      <c r="C100" s="13" t="s">
        <v>3314</v>
      </c>
      <c r="D100" s="13" t="s">
        <v>3317</v>
      </c>
      <c r="E100" s="13" t="s">
        <v>3320</v>
      </c>
      <c r="F100" s="13" t="s">
        <v>2908</v>
      </c>
    </row>
    <row r="101" ht="15.75" customHeight="1">
      <c r="A101" s="43">
        <v>8.0</v>
      </c>
      <c r="B101" s="13" t="s">
        <v>2910</v>
      </c>
      <c r="C101" s="13" t="s">
        <v>3327</v>
      </c>
      <c r="D101" s="13" t="s">
        <v>3330</v>
      </c>
      <c r="E101" s="13" t="s">
        <v>3332</v>
      </c>
      <c r="F101" s="13" t="s">
        <v>2897</v>
      </c>
    </row>
    <row r="102" ht="15.75" customHeight="1">
      <c r="A102" s="42" t="s">
        <v>942</v>
      </c>
    </row>
    <row r="103" ht="15.75" customHeight="1"/>
    <row r="104" ht="15.75" customHeight="1"/>
    <row r="105" ht="15.75" customHeight="1">
      <c r="A105" s="25" t="s">
        <v>3335</v>
      </c>
      <c r="B105" s="26"/>
      <c r="C105" s="26"/>
      <c r="D105" s="26"/>
      <c r="E105" s="26"/>
      <c r="F105" s="26"/>
    </row>
    <row r="106" ht="15.75" customHeight="1">
      <c r="A106" s="27" t="s">
        <v>3339</v>
      </c>
      <c r="B106" s="26"/>
      <c r="C106" s="26"/>
      <c r="D106" s="26"/>
      <c r="E106" s="26"/>
      <c r="F106" s="26"/>
    </row>
    <row r="107" ht="15.75" customHeight="1">
      <c r="A107" s="41" t="s">
        <v>1099</v>
      </c>
      <c r="B107" s="41" t="s">
        <v>464</v>
      </c>
      <c r="C107" s="41" t="s">
        <v>715</v>
      </c>
      <c r="D107" s="41" t="s">
        <v>3348</v>
      </c>
      <c r="E107" s="41" t="s">
        <v>1258</v>
      </c>
      <c r="F107" s="41" t="s">
        <v>3352</v>
      </c>
    </row>
    <row r="108" ht="15.75" customHeight="1">
      <c r="A108" s="13" t="s">
        <v>2371</v>
      </c>
      <c r="B108" s="43">
        <v>21295.0</v>
      </c>
      <c r="C108" s="43">
        <v>17.0</v>
      </c>
      <c r="D108" s="43">
        <v>16.0</v>
      </c>
      <c r="E108" s="43">
        <v>2.0</v>
      </c>
      <c r="F108" s="43">
        <v>0.0</v>
      </c>
    </row>
    <row r="109" ht="15.75" customHeight="1">
      <c r="A109" s="13" t="s">
        <v>1217</v>
      </c>
      <c r="B109" s="43">
        <v>38446.0</v>
      </c>
      <c r="C109" s="43">
        <v>23.0</v>
      </c>
      <c r="D109" s="43">
        <v>13.0</v>
      </c>
      <c r="E109" s="43">
        <v>14.0</v>
      </c>
      <c r="F109" s="43">
        <v>33.0</v>
      </c>
    </row>
    <row r="110" ht="15.75" customHeight="1">
      <c r="A110" s="13" t="s">
        <v>1227</v>
      </c>
      <c r="B110" s="43">
        <v>31063.0</v>
      </c>
      <c r="C110" s="43">
        <v>16.0</v>
      </c>
      <c r="D110" s="43">
        <v>10.0</v>
      </c>
      <c r="E110" s="43">
        <v>8.0</v>
      </c>
      <c r="F110" s="43">
        <v>14.0</v>
      </c>
    </row>
    <row r="111" ht="15.75" customHeight="1">
      <c r="A111" s="13" t="s">
        <v>2047</v>
      </c>
      <c r="B111" s="43">
        <v>49326.0</v>
      </c>
      <c r="C111" s="43">
        <v>12.0</v>
      </c>
      <c r="D111" s="43">
        <v>9.0</v>
      </c>
      <c r="E111" s="43">
        <v>7.0</v>
      </c>
      <c r="F111" s="43">
        <v>6.0</v>
      </c>
    </row>
    <row r="112" ht="15.75" customHeight="1">
      <c r="A112" s="13" t="s">
        <v>2126</v>
      </c>
      <c r="B112" s="43">
        <v>32831.0</v>
      </c>
      <c r="C112" s="43">
        <v>14.0</v>
      </c>
      <c r="D112" s="43">
        <v>7.0</v>
      </c>
      <c r="E112" s="43">
        <v>8.0</v>
      </c>
      <c r="F112" s="43">
        <v>2.0</v>
      </c>
    </row>
    <row r="113" ht="15.75" customHeight="1">
      <c r="A113" s="13" t="s">
        <v>1212</v>
      </c>
      <c r="B113" s="43">
        <v>28471.0</v>
      </c>
      <c r="C113" s="43">
        <v>11.0</v>
      </c>
      <c r="D113" s="43">
        <v>7.0</v>
      </c>
      <c r="E113" s="43">
        <v>6.0</v>
      </c>
      <c r="F113" s="43">
        <v>27.0</v>
      </c>
    </row>
    <row r="114" ht="15.75" customHeight="1">
      <c r="A114" s="13" t="s">
        <v>2199</v>
      </c>
      <c r="B114" s="43">
        <v>29707.0</v>
      </c>
      <c r="C114" s="43">
        <v>16.0</v>
      </c>
      <c r="D114" s="43">
        <v>7.0</v>
      </c>
      <c r="E114" s="43">
        <v>11.0</v>
      </c>
      <c r="F114" s="43">
        <v>7.0</v>
      </c>
    </row>
    <row r="115" ht="15.75" customHeight="1">
      <c r="A115" s="13" t="s">
        <v>3399</v>
      </c>
      <c r="B115" s="43">
        <v>231139.0</v>
      </c>
      <c r="C115" s="43">
        <v>109.0</v>
      </c>
      <c r="D115" s="43">
        <v>69.0</v>
      </c>
      <c r="E115" s="43">
        <v>56.0</v>
      </c>
      <c r="F115" s="43">
        <v>89.0</v>
      </c>
    </row>
    <row r="116" ht="15.75" customHeight="1"/>
    <row r="117" ht="15.75" customHeight="1"/>
    <row r="118" ht="15.75" customHeight="1">
      <c r="A118" s="25" t="s">
        <v>3406</v>
      </c>
      <c r="B118" s="26"/>
      <c r="C118" s="26"/>
      <c r="D118" s="26"/>
    </row>
    <row r="119" ht="15.75" customHeight="1">
      <c r="A119" s="27" t="s">
        <v>3409</v>
      </c>
      <c r="B119" s="26"/>
      <c r="C119" s="26"/>
      <c r="D119" s="26"/>
    </row>
    <row r="120" ht="15.75" customHeight="1">
      <c r="A120" s="41" t="s">
        <v>3412</v>
      </c>
      <c r="B120" s="44">
        <v>57.0</v>
      </c>
      <c r="C120" s="44">
        <v>60.0</v>
      </c>
      <c r="D120" s="44">
        <v>63.0</v>
      </c>
    </row>
    <row r="121" ht="15.75" customHeight="1">
      <c r="A121" s="13" t="s">
        <v>3416</v>
      </c>
      <c r="B121" s="13" t="s">
        <v>3418</v>
      </c>
      <c r="C121" s="13" t="s">
        <v>3420</v>
      </c>
      <c r="D121" s="13" t="s">
        <v>3421</v>
      </c>
    </row>
    <row r="122" ht="15.75" customHeight="1">
      <c r="A122" s="43">
        <v>11.0</v>
      </c>
      <c r="B122" s="43">
        <v>6.0</v>
      </c>
      <c r="C122" s="43">
        <v>3.0</v>
      </c>
      <c r="D122" s="43">
        <v>8.0</v>
      </c>
    </row>
    <row r="123" ht="15.75" customHeight="1">
      <c r="A123" s="13" t="s">
        <v>3427</v>
      </c>
      <c r="B123" s="13" t="s">
        <v>3428</v>
      </c>
      <c r="C123" s="13" t="s">
        <v>3430</v>
      </c>
      <c r="D123" s="13" t="s">
        <v>3432</v>
      </c>
    </row>
    <row r="124" ht="15.75" customHeight="1">
      <c r="A124" s="42" t="s">
        <v>1030</v>
      </c>
    </row>
    <row r="125" ht="15.75" customHeight="1"/>
    <row r="126" ht="15.75" customHeight="1"/>
    <row r="127" ht="15.75" customHeight="1">
      <c r="A127" s="25" t="s">
        <v>3435</v>
      </c>
      <c r="B127" s="26"/>
      <c r="C127" s="26"/>
      <c r="D127" s="26"/>
      <c r="E127" s="26"/>
      <c r="F127" s="26"/>
    </row>
    <row r="128" ht="15.75" customHeight="1">
      <c r="A128" s="27" t="s">
        <v>3234</v>
      </c>
      <c r="B128" s="26"/>
      <c r="C128" s="26"/>
      <c r="D128" s="26"/>
      <c r="E128" s="26"/>
      <c r="F128" s="26"/>
    </row>
    <row r="129" ht="15.75" customHeight="1">
      <c r="A129" s="41" t="s">
        <v>2693</v>
      </c>
      <c r="B129" s="41" t="s">
        <v>2857</v>
      </c>
      <c r="C129" s="41" t="s">
        <v>2981</v>
      </c>
      <c r="D129" s="41" t="s">
        <v>2983</v>
      </c>
      <c r="E129" s="41" t="s">
        <v>2859</v>
      </c>
      <c r="F129" s="41" t="s">
        <v>2988</v>
      </c>
    </row>
    <row r="130" ht="15.75" customHeight="1">
      <c r="A130" s="43">
        <v>1.0</v>
      </c>
      <c r="B130" s="13" t="s">
        <v>3454</v>
      </c>
      <c r="C130" s="13" t="s">
        <v>3456</v>
      </c>
      <c r="D130" s="13" t="s">
        <v>3459</v>
      </c>
      <c r="E130" s="13" t="s">
        <v>3461</v>
      </c>
      <c r="F130" s="13" t="s">
        <v>2888</v>
      </c>
    </row>
    <row r="131" ht="15.75" customHeight="1">
      <c r="A131" s="43">
        <v>2.0</v>
      </c>
      <c r="B131" s="13" t="s">
        <v>3468</v>
      </c>
      <c r="C131" s="13" t="s">
        <v>3471</v>
      </c>
      <c r="D131" s="13" t="s">
        <v>3474</v>
      </c>
      <c r="E131" s="13" t="s">
        <v>3475</v>
      </c>
      <c r="F131" s="13" t="s">
        <v>2888</v>
      </c>
    </row>
    <row r="132" ht="15.75" customHeight="1">
      <c r="A132" s="43">
        <v>3.0</v>
      </c>
      <c r="B132" s="13" t="s">
        <v>3480</v>
      </c>
      <c r="C132" s="13" t="s">
        <v>3484</v>
      </c>
      <c r="D132" s="13" t="s">
        <v>3485</v>
      </c>
      <c r="E132" s="13" t="s">
        <v>3489</v>
      </c>
      <c r="F132" s="13" t="s">
        <v>2888</v>
      </c>
    </row>
    <row r="133" ht="15.75" customHeight="1">
      <c r="A133" s="43">
        <v>4.0</v>
      </c>
      <c r="B133" s="13" t="s">
        <v>3493</v>
      </c>
      <c r="C133" s="13" t="s">
        <v>3495</v>
      </c>
      <c r="D133" s="13" t="s">
        <v>3499</v>
      </c>
      <c r="E133" s="13" t="s">
        <v>3501</v>
      </c>
      <c r="F133" s="13" t="s">
        <v>2877</v>
      </c>
    </row>
    <row r="134" ht="15.75" customHeight="1">
      <c r="A134" s="43">
        <v>5.0</v>
      </c>
      <c r="B134" s="13" t="s">
        <v>3508</v>
      </c>
      <c r="C134" s="13" t="s">
        <v>3511</v>
      </c>
      <c r="D134" s="13" t="s">
        <v>3512</v>
      </c>
      <c r="E134" s="13" t="s">
        <v>3514</v>
      </c>
      <c r="F134" s="13" t="s">
        <v>2897</v>
      </c>
    </row>
    <row r="135" ht="15.75" customHeight="1">
      <c r="A135" s="43">
        <v>6.0</v>
      </c>
      <c r="B135" s="13" t="s">
        <v>3520</v>
      </c>
      <c r="C135" s="13" t="s">
        <v>3522</v>
      </c>
      <c r="D135" s="13" t="s">
        <v>3523</v>
      </c>
      <c r="E135" s="13" t="s">
        <v>3525</v>
      </c>
      <c r="F135" s="13" t="s">
        <v>2897</v>
      </c>
    </row>
    <row r="136" ht="15.75" customHeight="1">
      <c r="A136" s="43">
        <v>7.0</v>
      </c>
      <c r="B136" s="13" t="s">
        <v>3528</v>
      </c>
      <c r="C136" s="13" t="s">
        <v>3530</v>
      </c>
      <c r="D136" s="13" t="s">
        <v>3534</v>
      </c>
      <c r="E136" s="13" t="s">
        <v>3537</v>
      </c>
      <c r="F136" s="13" t="s">
        <v>2897</v>
      </c>
    </row>
    <row r="137" ht="15.75" customHeight="1">
      <c r="A137" s="43">
        <v>8.0</v>
      </c>
      <c r="B137" s="13" t="s">
        <v>3542</v>
      </c>
      <c r="C137" s="13" t="s">
        <v>3546</v>
      </c>
      <c r="D137" s="13" t="s">
        <v>3548</v>
      </c>
      <c r="E137" s="13" t="s">
        <v>3549</v>
      </c>
      <c r="F137" s="13" t="s">
        <v>2908</v>
      </c>
    </row>
    <row r="138" ht="15.75" customHeight="1">
      <c r="A138" s="42" t="s">
        <v>1032</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5" width="26.0"/>
    <col customWidth="1" min="6" max="26" width="8.71"/>
  </cols>
  <sheetData>
    <row r="1">
      <c r="A1" s="12" t="s">
        <v>2901</v>
      </c>
    </row>
    <row r="2">
      <c r="A2" s="24" t="s">
        <v>2902</v>
      </c>
    </row>
    <row r="4">
      <c r="A4" s="25" t="s">
        <v>2904</v>
      </c>
      <c r="B4" s="26"/>
      <c r="C4" s="26"/>
      <c r="D4" s="26"/>
      <c r="E4" s="26"/>
    </row>
    <row r="5">
      <c r="A5" s="27" t="s">
        <v>2913</v>
      </c>
      <c r="B5" s="26"/>
      <c r="C5" s="26"/>
      <c r="D5" s="26"/>
      <c r="E5" s="26"/>
    </row>
    <row r="6">
      <c r="A6" s="41" t="s">
        <v>1274</v>
      </c>
      <c r="B6" s="41" t="s">
        <v>2034</v>
      </c>
      <c r="C6" s="41" t="s">
        <v>2921</v>
      </c>
      <c r="D6" s="41" t="s">
        <v>2923</v>
      </c>
      <c r="E6" s="41" t="s">
        <v>2926</v>
      </c>
    </row>
    <row r="7">
      <c r="A7" s="13" t="s">
        <v>2928</v>
      </c>
      <c r="B7" s="13" t="s">
        <v>2929</v>
      </c>
      <c r="C7" s="13" t="s">
        <v>2930</v>
      </c>
      <c r="D7" s="13" t="s">
        <v>2933</v>
      </c>
      <c r="E7" s="13" t="s">
        <v>2934</v>
      </c>
    </row>
    <row r="8">
      <c r="A8" s="13" t="s">
        <v>2928</v>
      </c>
      <c r="B8" s="13" t="s">
        <v>2937</v>
      </c>
      <c r="C8" s="13" t="s">
        <v>2939</v>
      </c>
      <c r="D8" s="43">
        <v>40.0</v>
      </c>
      <c r="E8" s="13" t="s">
        <v>2942</v>
      </c>
    </row>
    <row r="9">
      <c r="A9" s="13" t="s">
        <v>2945</v>
      </c>
      <c r="B9" s="13" t="s">
        <v>1444</v>
      </c>
      <c r="C9" s="13" t="s">
        <v>1447</v>
      </c>
      <c r="D9" s="13" t="s">
        <v>2948</v>
      </c>
      <c r="E9" s="13" t="s">
        <v>2950</v>
      </c>
    </row>
    <row r="10">
      <c r="A10" s="13" t="s">
        <v>2945</v>
      </c>
      <c r="B10" s="13" t="s">
        <v>2954</v>
      </c>
      <c r="C10" s="13" t="s">
        <v>2955</v>
      </c>
      <c r="D10" s="43">
        <v>100.0</v>
      </c>
      <c r="E10" s="13" t="s">
        <v>2957</v>
      </c>
    </row>
    <row r="11">
      <c r="A11" s="13" t="s">
        <v>2945</v>
      </c>
      <c r="B11" s="13" t="s">
        <v>188</v>
      </c>
      <c r="C11" s="13" t="s">
        <v>2962</v>
      </c>
      <c r="D11" s="13" t="s">
        <v>2963</v>
      </c>
      <c r="E11" s="13" t="s">
        <v>2965</v>
      </c>
    </row>
    <row r="12">
      <c r="A12" s="13" t="s">
        <v>2968</v>
      </c>
      <c r="B12" s="13" t="s">
        <v>2969</v>
      </c>
      <c r="C12" s="13" t="s">
        <v>2970</v>
      </c>
      <c r="D12" s="13" t="s">
        <v>2971</v>
      </c>
      <c r="E12" s="13" t="s">
        <v>2972</v>
      </c>
    </row>
    <row r="13">
      <c r="A13" s="13" t="s">
        <v>2968</v>
      </c>
      <c r="B13" s="13" t="s">
        <v>2974</v>
      </c>
      <c r="C13" s="13" t="s">
        <v>2976</v>
      </c>
      <c r="D13" s="13" t="s">
        <v>2977</v>
      </c>
      <c r="E13" s="13" t="s">
        <v>2978</v>
      </c>
    </row>
    <row r="14">
      <c r="A14" s="13" t="s">
        <v>2968</v>
      </c>
      <c r="B14" s="13" t="s">
        <v>2979</v>
      </c>
      <c r="C14" s="13" t="s">
        <v>2980</v>
      </c>
      <c r="D14" s="13" t="s">
        <v>2982</v>
      </c>
      <c r="E14" s="13" t="s">
        <v>2985</v>
      </c>
    </row>
    <row r="15">
      <c r="A15" s="13" t="s">
        <v>2987</v>
      </c>
      <c r="B15" s="13" t="s">
        <v>2990</v>
      </c>
      <c r="C15" s="13" t="s">
        <v>2991</v>
      </c>
      <c r="D15" s="13" t="s">
        <v>2839</v>
      </c>
      <c r="E15" s="13" t="s">
        <v>2995</v>
      </c>
    </row>
    <row r="16">
      <c r="A16" s="13" t="s">
        <v>2987</v>
      </c>
      <c r="B16" s="13" t="s">
        <v>2999</v>
      </c>
      <c r="C16" s="13" t="s">
        <v>3001</v>
      </c>
      <c r="D16" s="13" t="s">
        <v>3002</v>
      </c>
      <c r="E16" s="13" t="s">
        <v>3005</v>
      </c>
    </row>
    <row r="17">
      <c r="A17" s="13" t="s">
        <v>2987</v>
      </c>
      <c r="B17" s="13" t="s">
        <v>3008</v>
      </c>
      <c r="C17" s="13" t="s">
        <v>3010</v>
      </c>
      <c r="D17" s="13" t="s">
        <v>3012</v>
      </c>
      <c r="E17" s="13" t="s">
        <v>3015</v>
      </c>
    </row>
    <row r="18">
      <c r="A18" s="13" t="s">
        <v>3018</v>
      </c>
      <c r="B18" s="13" t="s">
        <v>3019</v>
      </c>
      <c r="C18" s="13" t="s">
        <v>3021</v>
      </c>
      <c r="D18" s="13" t="s">
        <v>3023</v>
      </c>
      <c r="E18" s="13" t="s">
        <v>3025</v>
      </c>
    </row>
    <row r="19">
      <c r="A19" s="13" t="s">
        <v>3018</v>
      </c>
      <c r="B19" s="13" t="s">
        <v>3028</v>
      </c>
      <c r="C19" s="13" t="s">
        <v>3030</v>
      </c>
      <c r="D19" s="13" t="s">
        <v>3033</v>
      </c>
      <c r="E19" s="13" t="s">
        <v>3035</v>
      </c>
    </row>
    <row r="20">
      <c r="A20" s="13" t="s">
        <v>3018</v>
      </c>
      <c r="B20" s="13" t="s">
        <v>3037</v>
      </c>
      <c r="C20" s="13" t="s">
        <v>3039</v>
      </c>
      <c r="D20" s="13" t="s">
        <v>3040</v>
      </c>
      <c r="E20" s="13" t="s">
        <v>3043</v>
      </c>
    </row>
    <row r="21" ht="15.75" customHeight="1"/>
    <row r="22" ht="15.75" customHeight="1"/>
    <row r="23" ht="15.75" customHeight="1">
      <c r="A23" s="25" t="s">
        <v>3046</v>
      </c>
      <c r="B23" s="26"/>
      <c r="C23" s="26"/>
      <c r="D23" s="26"/>
      <c r="E23" s="26"/>
    </row>
    <row r="24" ht="15.75" customHeight="1">
      <c r="A24" s="27" t="s">
        <v>3049</v>
      </c>
      <c r="B24" s="26"/>
      <c r="C24" s="26"/>
      <c r="D24" s="26"/>
      <c r="E24" s="26"/>
    </row>
    <row r="25" ht="15.75" customHeight="1">
      <c r="A25" s="41" t="s">
        <v>2034</v>
      </c>
      <c r="B25" s="41" t="s">
        <v>3055</v>
      </c>
      <c r="C25" s="41" t="s">
        <v>3057</v>
      </c>
      <c r="D25" s="41" t="s">
        <v>3059</v>
      </c>
      <c r="E25" s="41" t="s">
        <v>2926</v>
      </c>
    </row>
    <row r="26" ht="15.75" customHeight="1">
      <c r="A26" s="13" t="s">
        <v>3063</v>
      </c>
      <c r="B26" s="13"/>
      <c r="C26" s="13"/>
      <c r="D26" s="13"/>
      <c r="E26" s="13"/>
    </row>
    <row r="27" ht="15.75" customHeight="1">
      <c r="A27" s="13" t="s">
        <v>1474</v>
      </c>
      <c r="B27" s="13" t="s">
        <v>3069</v>
      </c>
      <c r="C27" s="43">
        <v>2.47</v>
      </c>
      <c r="D27" s="43">
        <v>25.0</v>
      </c>
      <c r="E27" s="13" t="s">
        <v>3074</v>
      </c>
    </row>
    <row r="28" ht="15.75" customHeight="1">
      <c r="A28" s="13" t="s">
        <v>3077</v>
      </c>
      <c r="B28" s="13" t="s">
        <v>3079</v>
      </c>
      <c r="C28" s="13" t="s">
        <v>3081</v>
      </c>
      <c r="D28" s="13" t="s">
        <v>3082</v>
      </c>
      <c r="E28" s="13" t="s">
        <v>3083</v>
      </c>
    </row>
    <row r="29" ht="15.75" customHeight="1">
      <c r="A29" s="13" t="s">
        <v>3085</v>
      </c>
      <c r="B29" s="13" t="s">
        <v>3086</v>
      </c>
      <c r="C29" s="43">
        <v>27.7</v>
      </c>
      <c r="D29" s="43">
        <v>40.0</v>
      </c>
      <c r="E29" s="13" t="s">
        <v>3089</v>
      </c>
    </row>
    <row r="30" ht="15.75" customHeight="1">
      <c r="A30" s="13" t="s">
        <v>3091</v>
      </c>
      <c r="B30" s="13"/>
      <c r="C30" s="13"/>
      <c r="D30" s="13"/>
      <c r="E30" s="13"/>
    </row>
    <row r="31" ht="15.75" customHeight="1">
      <c r="A31" s="13" t="s">
        <v>3097</v>
      </c>
      <c r="B31" s="13" t="s">
        <v>3099</v>
      </c>
      <c r="C31" s="13" t="s">
        <v>3100</v>
      </c>
      <c r="D31" s="13" t="s">
        <v>3102</v>
      </c>
      <c r="E31" s="13" t="s">
        <v>3104</v>
      </c>
    </row>
    <row r="32" ht="15.75" customHeight="1">
      <c r="A32" s="13" t="s">
        <v>2954</v>
      </c>
      <c r="B32" s="13" t="s">
        <v>3109</v>
      </c>
      <c r="C32" s="43">
        <v>27.1</v>
      </c>
      <c r="D32" s="43">
        <v>100.0</v>
      </c>
      <c r="E32" s="13" t="s">
        <v>3112</v>
      </c>
    </row>
    <row r="33" ht="15.75" customHeight="1">
      <c r="A33" s="13" t="s">
        <v>2160</v>
      </c>
      <c r="B33" s="13" t="s">
        <v>3115</v>
      </c>
      <c r="C33" s="13" t="s">
        <v>3117</v>
      </c>
      <c r="D33" s="13" t="s">
        <v>3118</v>
      </c>
      <c r="E33" s="13" t="s">
        <v>3120</v>
      </c>
    </row>
    <row r="34" ht="15.75" customHeight="1">
      <c r="A34" s="13" t="s">
        <v>3121</v>
      </c>
      <c r="B34" s="13"/>
      <c r="C34" s="13"/>
      <c r="D34" s="13"/>
      <c r="E34" s="13"/>
    </row>
    <row r="35" ht="15.75" customHeight="1">
      <c r="A35" s="13" t="s">
        <v>3125</v>
      </c>
      <c r="B35" s="13" t="s">
        <v>3127</v>
      </c>
      <c r="C35" s="13" t="s">
        <v>3131</v>
      </c>
      <c r="D35" s="13" t="s">
        <v>3133</v>
      </c>
      <c r="E35" s="13" t="s">
        <v>3135</v>
      </c>
    </row>
    <row r="36" ht="15.75" customHeight="1">
      <c r="A36" s="13" t="s">
        <v>3138</v>
      </c>
      <c r="B36" s="13" t="s">
        <v>3140</v>
      </c>
      <c r="C36" s="13" t="s">
        <v>3142</v>
      </c>
      <c r="D36" s="13" t="s">
        <v>3145</v>
      </c>
      <c r="E36" s="13" t="s">
        <v>3146</v>
      </c>
    </row>
    <row r="37" ht="15.75" customHeight="1">
      <c r="A37" s="13" t="s">
        <v>3149</v>
      </c>
      <c r="B37" s="13" t="s">
        <v>3153</v>
      </c>
      <c r="C37" s="13" t="s">
        <v>3155</v>
      </c>
      <c r="D37" s="13" t="s">
        <v>3156</v>
      </c>
      <c r="E37" s="13" t="s">
        <v>3159</v>
      </c>
    </row>
    <row r="38" ht="15.75" customHeight="1">
      <c r="A38" s="13" t="s">
        <v>3162</v>
      </c>
      <c r="B38" s="13"/>
      <c r="C38" s="13"/>
      <c r="D38" s="13"/>
      <c r="E38" s="13"/>
    </row>
    <row r="39" ht="15.75" customHeight="1">
      <c r="A39" s="13" t="s">
        <v>3169</v>
      </c>
      <c r="B39" s="13" t="s">
        <v>3172</v>
      </c>
      <c r="C39" s="13" t="s">
        <v>1493</v>
      </c>
      <c r="D39" s="13" t="s">
        <v>746</v>
      </c>
      <c r="E39" s="13" t="s">
        <v>3175</v>
      </c>
    </row>
    <row r="40" ht="15.75" customHeight="1">
      <c r="A40" s="13" t="s">
        <v>2488</v>
      </c>
      <c r="B40" s="13" t="s">
        <v>3179</v>
      </c>
      <c r="C40" s="13" t="s">
        <v>3181</v>
      </c>
      <c r="D40" s="13" t="s">
        <v>3183</v>
      </c>
      <c r="E40" s="13" t="s">
        <v>3185</v>
      </c>
    </row>
    <row r="41" ht="15.75" customHeight="1">
      <c r="A41" s="13" t="s">
        <v>3186</v>
      </c>
      <c r="B41" s="13" t="s">
        <v>3188</v>
      </c>
      <c r="C41" s="13" t="s">
        <v>3010</v>
      </c>
      <c r="D41" s="13" t="s">
        <v>3012</v>
      </c>
      <c r="E41" s="13" t="s">
        <v>3193</v>
      </c>
    </row>
    <row r="42" ht="15.75" customHeight="1">
      <c r="A42" s="13" t="s">
        <v>3194</v>
      </c>
      <c r="B42" s="13"/>
      <c r="C42" s="13"/>
      <c r="D42" s="13"/>
      <c r="E42" s="13"/>
    </row>
    <row r="43" ht="15.75" customHeight="1">
      <c r="A43" s="13" t="s">
        <v>3199</v>
      </c>
      <c r="B43" s="13" t="s">
        <v>3200</v>
      </c>
      <c r="C43" s="13" t="s">
        <v>3202</v>
      </c>
      <c r="D43" s="13" t="s">
        <v>746</v>
      </c>
      <c r="E43" s="13" t="s">
        <v>3205</v>
      </c>
    </row>
    <row r="44" ht="15.75" customHeight="1">
      <c r="A44" s="13" t="s">
        <v>3207</v>
      </c>
      <c r="B44" s="13" t="s">
        <v>3208</v>
      </c>
      <c r="C44" s="13" t="s">
        <v>3210</v>
      </c>
      <c r="D44" s="13" t="s">
        <v>746</v>
      </c>
      <c r="E44" s="13" t="s">
        <v>3212</v>
      </c>
    </row>
    <row r="45" ht="15.75" customHeight="1">
      <c r="A45" s="13" t="s">
        <v>3037</v>
      </c>
      <c r="B45" s="13" t="s">
        <v>3214</v>
      </c>
      <c r="C45" s="13" t="s">
        <v>3215</v>
      </c>
      <c r="D45" s="13" t="s">
        <v>3218</v>
      </c>
      <c r="E45" s="13" t="s">
        <v>3219</v>
      </c>
    </row>
    <row r="46" ht="15.75" customHeight="1">
      <c r="A46" s="42" t="s">
        <v>821</v>
      </c>
    </row>
    <row r="47" ht="15.75" customHeight="1"/>
    <row r="48" ht="15.75" customHeight="1"/>
    <row r="49" ht="15.75" customHeight="1">
      <c r="A49" s="25" t="s">
        <v>3221</v>
      </c>
      <c r="B49" s="26"/>
      <c r="C49" s="26"/>
      <c r="D49" s="26"/>
      <c r="E49" s="26"/>
    </row>
    <row r="50" ht="15.75" customHeight="1">
      <c r="A50" s="27" t="s">
        <v>3226</v>
      </c>
      <c r="B50" s="26"/>
      <c r="C50" s="26"/>
      <c r="D50" s="26"/>
      <c r="E50" s="26"/>
    </row>
    <row r="51" ht="15.75" customHeight="1">
      <c r="A51" s="41" t="s">
        <v>2693</v>
      </c>
      <c r="B51" s="41" t="s">
        <v>2034</v>
      </c>
      <c r="C51" s="41" t="s">
        <v>3055</v>
      </c>
      <c r="D51" s="41" t="s">
        <v>2921</v>
      </c>
      <c r="E51" s="41" t="s">
        <v>3237</v>
      </c>
    </row>
    <row r="52" ht="15.75" customHeight="1">
      <c r="A52" s="43">
        <v>1.0</v>
      </c>
      <c r="B52" s="13" t="s">
        <v>3239</v>
      </c>
      <c r="C52" s="13" t="s">
        <v>3241</v>
      </c>
      <c r="D52" s="43">
        <v>0.0</v>
      </c>
      <c r="E52" s="13" t="s">
        <v>3242</v>
      </c>
    </row>
    <row r="53" ht="15.75" customHeight="1">
      <c r="A53" s="43">
        <v>2.0</v>
      </c>
      <c r="B53" s="13" t="s">
        <v>3244</v>
      </c>
      <c r="C53" s="13" t="s">
        <v>3245</v>
      </c>
      <c r="D53" s="13" t="s">
        <v>3247</v>
      </c>
      <c r="E53" s="13" t="s">
        <v>3248</v>
      </c>
    </row>
    <row r="54" ht="15.75" customHeight="1">
      <c r="A54" s="43">
        <v>3.0</v>
      </c>
      <c r="B54" s="13" t="s">
        <v>3250</v>
      </c>
      <c r="C54" s="13" t="s">
        <v>3252</v>
      </c>
      <c r="D54" s="43">
        <v>0.0</v>
      </c>
      <c r="E54" s="13" t="s">
        <v>3253</v>
      </c>
    </row>
    <row r="55" ht="15.75" customHeight="1">
      <c r="A55" s="43">
        <v>4.0</v>
      </c>
      <c r="B55" s="13" t="s">
        <v>3255</v>
      </c>
      <c r="C55" s="13" t="s">
        <v>3257</v>
      </c>
      <c r="D55" s="13" t="s">
        <v>3259</v>
      </c>
      <c r="E55" s="13" t="s">
        <v>3261</v>
      </c>
    </row>
    <row r="56" ht="15.75" customHeight="1">
      <c r="A56" s="43">
        <v>5.0</v>
      </c>
      <c r="B56" s="13" t="s">
        <v>3262</v>
      </c>
      <c r="C56" s="13" t="s">
        <v>3263</v>
      </c>
      <c r="D56" s="43">
        <v>57.0</v>
      </c>
      <c r="E56" s="13" t="s">
        <v>3264</v>
      </c>
    </row>
    <row r="57" ht="15.75" customHeight="1">
      <c r="A57" s="43">
        <v>6.0</v>
      </c>
      <c r="B57" s="13" t="s">
        <v>3266</v>
      </c>
      <c r="C57" s="13" t="s">
        <v>3267</v>
      </c>
      <c r="D57" s="43">
        <v>6.0</v>
      </c>
      <c r="E57" s="13" t="s">
        <v>3271</v>
      </c>
    </row>
    <row r="58" ht="15.75" customHeight="1">
      <c r="A58" s="43">
        <v>7.0</v>
      </c>
      <c r="B58" s="13" t="s">
        <v>3273</v>
      </c>
      <c r="C58" s="13" t="s">
        <v>3275</v>
      </c>
      <c r="D58" s="13" t="s">
        <v>3277</v>
      </c>
      <c r="E58" s="13" t="s">
        <v>3278</v>
      </c>
    </row>
    <row r="59" ht="15.75" customHeight="1">
      <c r="A59" s="43">
        <v>8.0</v>
      </c>
      <c r="B59" s="13" t="s">
        <v>3281</v>
      </c>
      <c r="C59" s="13" t="s">
        <v>3283</v>
      </c>
      <c r="D59" s="13" t="s">
        <v>3286</v>
      </c>
      <c r="E59" s="13" t="s">
        <v>3288</v>
      </c>
    </row>
    <row r="60" ht="15.75" customHeight="1">
      <c r="A60" s="43">
        <v>9.0</v>
      </c>
      <c r="B60" s="13" t="s">
        <v>3292</v>
      </c>
      <c r="C60" s="13" t="s">
        <v>3294</v>
      </c>
      <c r="D60" s="13" t="s">
        <v>3296</v>
      </c>
      <c r="E60" s="13" t="s">
        <v>3299</v>
      </c>
    </row>
    <row r="61" ht="15.75" customHeight="1">
      <c r="A61" s="43">
        <v>10.0</v>
      </c>
      <c r="B61" s="13" t="s">
        <v>1980</v>
      </c>
      <c r="C61" s="13" t="s">
        <v>3306</v>
      </c>
      <c r="D61" s="13" t="s">
        <v>3308</v>
      </c>
      <c r="E61" s="13" t="s">
        <v>3310</v>
      </c>
    </row>
    <row r="62" ht="15.75" customHeight="1">
      <c r="A62" s="43">
        <v>11.0</v>
      </c>
      <c r="B62" s="13" t="s">
        <v>3312</v>
      </c>
      <c r="C62" s="13" t="s">
        <v>3315</v>
      </c>
      <c r="D62" s="43">
        <v>137.4</v>
      </c>
      <c r="E62" s="13" t="s">
        <v>3319</v>
      </c>
    </row>
    <row r="63" ht="15.75" customHeight="1">
      <c r="A63" s="43">
        <v>12.0</v>
      </c>
      <c r="B63" s="13" t="s">
        <v>3323</v>
      </c>
      <c r="C63" s="13" t="s">
        <v>3325</v>
      </c>
      <c r="D63" s="13" t="s">
        <v>3326</v>
      </c>
      <c r="E63" s="13" t="s">
        <v>3329</v>
      </c>
    </row>
    <row r="64" ht="15.75" customHeight="1">
      <c r="A64" s="42" t="s">
        <v>1034</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E8C"/>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0"/>
    <col customWidth="1" min="2" max="23" width="26.0"/>
    <col customWidth="1" min="24" max="26" width="8.71"/>
  </cols>
  <sheetData>
    <row r="1">
      <c r="A1" s="12" t="s">
        <v>3088</v>
      </c>
    </row>
    <row r="2">
      <c r="A2" s="24" t="s">
        <v>3090</v>
      </c>
    </row>
    <row r="4">
      <c r="A4" s="25" t="s">
        <v>3093</v>
      </c>
      <c r="B4" s="26"/>
      <c r="C4" s="26"/>
      <c r="D4" s="26"/>
      <c r="E4" s="26"/>
      <c r="F4" s="26"/>
      <c r="G4" s="26"/>
      <c r="H4" s="26"/>
      <c r="I4" s="26"/>
      <c r="J4" s="26"/>
      <c r="K4" s="26"/>
      <c r="L4" s="26"/>
      <c r="M4" s="26"/>
      <c r="N4" s="26"/>
      <c r="O4" s="26"/>
      <c r="P4" s="26"/>
    </row>
    <row r="5">
      <c r="A5" s="27" t="s">
        <v>3113</v>
      </c>
      <c r="B5" s="26"/>
      <c r="C5" s="26"/>
      <c r="D5" s="26"/>
      <c r="E5" s="26"/>
      <c r="F5" s="26"/>
      <c r="G5" s="26"/>
      <c r="H5" s="26"/>
      <c r="I5" s="26"/>
      <c r="J5" s="26"/>
      <c r="K5" s="26"/>
      <c r="L5" s="26"/>
      <c r="M5" s="26"/>
      <c r="N5" s="26"/>
      <c r="O5" s="26"/>
      <c r="P5" s="26"/>
    </row>
    <row r="6">
      <c r="A6" s="41" t="s">
        <v>547</v>
      </c>
      <c r="B6" s="41" t="s">
        <v>714</v>
      </c>
      <c r="C6" s="41" t="s">
        <v>715</v>
      </c>
      <c r="D6" s="41" t="s">
        <v>716</v>
      </c>
      <c r="E6" s="41" t="s">
        <v>718</v>
      </c>
      <c r="F6" s="41" t="s">
        <v>719</v>
      </c>
      <c r="G6" s="41" t="s">
        <v>720</v>
      </c>
      <c r="H6" s="41" t="s">
        <v>721</v>
      </c>
      <c r="I6" s="41" t="s">
        <v>722</v>
      </c>
      <c r="J6" s="41" t="s">
        <v>724</v>
      </c>
      <c r="K6" s="41" t="s">
        <v>725</v>
      </c>
      <c r="L6" s="41" t="s">
        <v>727</v>
      </c>
      <c r="M6" s="41" t="s">
        <v>728</v>
      </c>
      <c r="N6" s="41" t="s">
        <v>730</v>
      </c>
      <c r="O6" s="41" t="s">
        <v>731</v>
      </c>
      <c r="P6" s="41" t="s">
        <v>733</v>
      </c>
    </row>
    <row r="7">
      <c r="A7" s="13" t="s">
        <v>526</v>
      </c>
      <c r="B7" s="43">
        <v>40.0</v>
      </c>
      <c r="C7" s="13" t="s">
        <v>735</v>
      </c>
      <c r="D7" s="43">
        <v>1368137.0</v>
      </c>
      <c r="E7" s="43">
        <v>242.0</v>
      </c>
      <c r="F7" s="13" t="s">
        <v>736</v>
      </c>
      <c r="G7" s="43">
        <v>128.0</v>
      </c>
      <c r="H7" s="13" t="s">
        <v>737</v>
      </c>
      <c r="I7" s="43">
        <v>1022.0</v>
      </c>
      <c r="J7" s="43">
        <v>0.75</v>
      </c>
      <c r="K7" s="43">
        <v>86.0</v>
      </c>
      <c r="L7" s="43">
        <v>4.34</v>
      </c>
      <c r="M7" s="43">
        <v>25.7</v>
      </c>
      <c r="N7" s="43">
        <v>30.46</v>
      </c>
      <c r="O7" s="13" t="s">
        <v>740</v>
      </c>
      <c r="P7" s="43">
        <v>0.0</v>
      </c>
    </row>
    <row r="8">
      <c r="A8" s="13" t="s">
        <v>622</v>
      </c>
      <c r="B8" s="43">
        <v>12.0</v>
      </c>
      <c r="C8" s="43">
        <v>221.0</v>
      </c>
      <c r="D8" s="43">
        <v>741428.0</v>
      </c>
      <c r="E8" s="43">
        <v>224.0</v>
      </c>
      <c r="F8" s="13" t="s">
        <v>743</v>
      </c>
      <c r="G8" s="43">
        <v>175.0</v>
      </c>
      <c r="H8" s="13" t="s">
        <v>744</v>
      </c>
      <c r="I8" s="43">
        <v>360.0</v>
      </c>
      <c r="J8" s="43">
        <v>0.49</v>
      </c>
      <c r="K8" s="43">
        <v>52.0</v>
      </c>
      <c r="L8" s="43">
        <v>2.47</v>
      </c>
      <c r="M8" s="43">
        <v>27.7</v>
      </c>
      <c r="N8" s="43">
        <v>34.09</v>
      </c>
      <c r="O8" s="13" t="s">
        <v>746</v>
      </c>
      <c r="P8" s="43">
        <v>0.0</v>
      </c>
    </row>
    <row r="9">
      <c r="A9" s="13" t="s">
        <v>644</v>
      </c>
      <c r="B9" s="43">
        <v>24.0</v>
      </c>
      <c r="C9" s="43">
        <v>287.0</v>
      </c>
      <c r="D9" s="43">
        <v>813243.0</v>
      </c>
      <c r="E9" s="43">
        <v>222.0</v>
      </c>
      <c r="F9" s="13" t="s">
        <v>747</v>
      </c>
      <c r="G9" s="43">
        <v>155.0</v>
      </c>
      <c r="H9" s="13" t="s">
        <v>748</v>
      </c>
      <c r="I9" s="43">
        <v>648.0</v>
      </c>
      <c r="J9" s="43">
        <v>0.8</v>
      </c>
      <c r="K9" s="43">
        <v>91.0</v>
      </c>
      <c r="L9" s="43">
        <v>3.96</v>
      </c>
      <c r="M9" s="43">
        <v>26.3</v>
      </c>
      <c r="N9" s="43">
        <v>32.16</v>
      </c>
      <c r="O9" s="13" t="s">
        <v>749</v>
      </c>
      <c r="P9" s="43">
        <v>0.0</v>
      </c>
    </row>
    <row r="10">
      <c r="A10" s="13" t="s">
        <v>668</v>
      </c>
      <c r="B10" s="43">
        <v>8.0</v>
      </c>
      <c r="C10" s="43">
        <v>63.0</v>
      </c>
      <c r="D10" s="43">
        <v>214703.0</v>
      </c>
      <c r="E10" s="43">
        <v>68.0</v>
      </c>
      <c r="F10" s="13" t="s">
        <v>751</v>
      </c>
      <c r="G10" s="43">
        <v>57.0</v>
      </c>
      <c r="H10" s="13" t="s">
        <v>753</v>
      </c>
      <c r="I10" s="43">
        <v>0.0</v>
      </c>
      <c r="J10" s="43">
        <v>0.0</v>
      </c>
      <c r="K10" s="43">
        <v>0.0</v>
      </c>
      <c r="L10" s="13" t="s">
        <v>755</v>
      </c>
      <c r="M10" s="13" t="s">
        <v>755</v>
      </c>
      <c r="N10" s="43">
        <v>11.25</v>
      </c>
      <c r="O10" s="13" t="s">
        <v>756</v>
      </c>
      <c r="P10" s="43">
        <v>0.0</v>
      </c>
    </row>
    <row r="11">
      <c r="A11" s="13" t="s">
        <v>696</v>
      </c>
      <c r="B11" s="43">
        <v>84.0</v>
      </c>
      <c r="C11" s="43">
        <v>1735.0</v>
      </c>
      <c r="D11" s="43">
        <v>3137511.0</v>
      </c>
      <c r="E11" s="43">
        <v>756.0</v>
      </c>
      <c r="F11" s="13" t="s">
        <v>759</v>
      </c>
      <c r="G11" s="43">
        <v>515.0</v>
      </c>
      <c r="H11" s="13" t="s">
        <v>760</v>
      </c>
      <c r="I11" s="43">
        <v>2030.0</v>
      </c>
      <c r="J11" s="43">
        <v>0.65</v>
      </c>
      <c r="K11" s="13" t="s">
        <v>761</v>
      </c>
      <c r="L11" s="13" t="s">
        <v>344</v>
      </c>
      <c r="M11" s="13" t="s">
        <v>762</v>
      </c>
      <c r="N11" s="13" t="s">
        <v>763</v>
      </c>
      <c r="O11" s="13" t="s">
        <v>764</v>
      </c>
      <c r="P11" s="43">
        <v>0.0</v>
      </c>
    </row>
    <row r="14">
      <c r="A14" s="25" t="s">
        <v>3258</v>
      </c>
      <c r="B14" s="26"/>
      <c r="C14" s="26"/>
      <c r="D14" s="26"/>
      <c r="E14" s="26"/>
      <c r="F14" s="26"/>
    </row>
    <row r="15">
      <c r="A15" s="27" t="s">
        <v>3265</v>
      </c>
      <c r="B15" s="26"/>
      <c r="C15" s="26"/>
      <c r="D15" s="26"/>
      <c r="E15" s="26"/>
      <c r="F15" s="26"/>
    </row>
    <row r="16">
      <c r="A16" s="41" t="s">
        <v>2693</v>
      </c>
      <c r="B16" s="41" t="s">
        <v>2984</v>
      </c>
      <c r="C16" s="41" t="s">
        <v>547</v>
      </c>
      <c r="D16" s="41" t="s">
        <v>2545</v>
      </c>
      <c r="E16" s="41" t="s">
        <v>2992</v>
      </c>
      <c r="F16" s="41" t="s">
        <v>3282</v>
      </c>
    </row>
    <row r="17">
      <c r="A17" s="13" t="s">
        <v>3285</v>
      </c>
      <c r="B17" s="13" t="s">
        <v>3289</v>
      </c>
      <c r="C17" s="13" t="s">
        <v>1513</v>
      </c>
      <c r="D17" s="13" t="s">
        <v>3293</v>
      </c>
      <c r="E17" s="13" t="s">
        <v>3006</v>
      </c>
      <c r="F17" s="13" t="s">
        <v>3297</v>
      </c>
    </row>
    <row r="18">
      <c r="A18" s="13" t="s">
        <v>3301</v>
      </c>
      <c r="B18" s="13" t="s">
        <v>3303</v>
      </c>
      <c r="C18" s="13" t="s">
        <v>1513</v>
      </c>
      <c r="D18" s="13" t="s">
        <v>3309</v>
      </c>
      <c r="E18" s="13" t="s">
        <v>2889</v>
      </c>
      <c r="F18" s="13" t="s">
        <v>3311</v>
      </c>
    </row>
    <row r="19">
      <c r="A19" s="13" t="s">
        <v>3313</v>
      </c>
      <c r="B19" s="13" t="s">
        <v>3318</v>
      </c>
      <c r="C19" s="13" t="s">
        <v>3321</v>
      </c>
      <c r="D19" s="13" t="s">
        <v>3322</v>
      </c>
      <c r="E19" s="13" t="s">
        <v>2889</v>
      </c>
      <c r="F19" s="13" t="s">
        <v>3324</v>
      </c>
    </row>
    <row r="20">
      <c r="A20" s="13" t="s">
        <v>3328</v>
      </c>
      <c r="B20" s="13" t="s">
        <v>3331</v>
      </c>
      <c r="C20" s="13" t="s">
        <v>3321</v>
      </c>
      <c r="D20" s="13" t="s">
        <v>3333</v>
      </c>
      <c r="E20" s="13" t="s">
        <v>2853</v>
      </c>
      <c r="F20" s="13" t="s">
        <v>3334</v>
      </c>
    </row>
    <row r="21" ht="15.75" customHeight="1">
      <c r="A21" s="13" t="s">
        <v>3336</v>
      </c>
      <c r="B21" s="13" t="s">
        <v>3337</v>
      </c>
      <c r="C21" s="13" t="s">
        <v>212</v>
      </c>
      <c r="D21" s="13" t="s">
        <v>3338</v>
      </c>
      <c r="E21" s="13" t="s">
        <v>3006</v>
      </c>
      <c r="F21" s="13" t="s">
        <v>3340</v>
      </c>
    </row>
    <row r="22" ht="15.75" customHeight="1">
      <c r="A22" s="13" t="s">
        <v>3341</v>
      </c>
      <c r="B22" s="13" t="s">
        <v>3342</v>
      </c>
      <c r="C22" s="13" t="s">
        <v>3344</v>
      </c>
      <c r="D22" s="13" t="s">
        <v>3346</v>
      </c>
      <c r="E22" s="13" t="s">
        <v>3347</v>
      </c>
      <c r="F22" s="13" t="s">
        <v>3349</v>
      </c>
    </row>
    <row r="23" ht="15.75" customHeight="1">
      <c r="A23" s="13" t="s">
        <v>3351</v>
      </c>
      <c r="B23" s="13" t="s">
        <v>3353</v>
      </c>
      <c r="C23" s="13" t="s">
        <v>1513</v>
      </c>
      <c r="D23" s="13" t="s">
        <v>3354</v>
      </c>
      <c r="E23" s="13" t="s">
        <v>2853</v>
      </c>
      <c r="F23" s="13" t="s">
        <v>3356</v>
      </c>
    </row>
    <row r="24" ht="15.75" customHeight="1">
      <c r="A24" s="13" t="s">
        <v>3358</v>
      </c>
      <c r="B24" s="13" t="s">
        <v>3360</v>
      </c>
      <c r="C24" s="13" t="s">
        <v>3361</v>
      </c>
      <c r="D24" s="13" t="s">
        <v>3362</v>
      </c>
      <c r="E24" s="13" t="s">
        <v>2871</v>
      </c>
      <c r="F24" s="13" t="s">
        <v>3364</v>
      </c>
    </row>
    <row r="25" ht="15.75" customHeight="1">
      <c r="A25" s="13" t="s">
        <v>3366</v>
      </c>
      <c r="B25" s="13" t="s">
        <v>3367</v>
      </c>
      <c r="C25" s="13" t="s">
        <v>1513</v>
      </c>
      <c r="D25" s="13" t="s">
        <v>3369</v>
      </c>
      <c r="E25" s="13" t="s">
        <v>2889</v>
      </c>
      <c r="F25" s="13" t="s">
        <v>3370</v>
      </c>
    </row>
    <row r="26" ht="15.75" customHeight="1">
      <c r="A26" s="13" t="s">
        <v>3372</v>
      </c>
      <c r="B26" s="13" t="s">
        <v>3373</v>
      </c>
      <c r="C26" s="13" t="s">
        <v>1513</v>
      </c>
      <c r="D26" s="13" t="s">
        <v>3376</v>
      </c>
      <c r="E26" s="13" t="s">
        <v>2889</v>
      </c>
      <c r="F26" s="13" t="s">
        <v>3377</v>
      </c>
    </row>
    <row r="27" ht="15.75" customHeight="1">
      <c r="A27" s="13" t="s">
        <v>3378</v>
      </c>
      <c r="B27" s="13" t="s">
        <v>3380</v>
      </c>
      <c r="C27" s="13" t="s">
        <v>1513</v>
      </c>
      <c r="D27" s="13" t="s">
        <v>3382</v>
      </c>
      <c r="E27" s="13" t="s">
        <v>3383</v>
      </c>
      <c r="F27" s="13" t="s">
        <v>3385</v>
      </c>
    </row>
    <row r="28" ht="15.75" customHeight="1">
      <c r="A28" s="13" t="s">
        <v>3386</v>
      </c>
      <c r="B28" s="13" t="s">
        <v>3387</v>
      </c>
      <c r="C28" s="13" t="s">
        <v>1513</v>
      </c>
      <c r="D28" s="13" t="s">
        <v>3389</v>
      </c>
      <c r="E28" s="13" t="s">
        <v>2860</v>
      </c>
      <c r="F28" s="13" t="s">
        <v>3391</v>
      </c>
    </row>
    <row r="29" ht="15.75" customHeight="1">
      <c r="A29" s="13" t="s">
        <v>3393</v>
      </c>
      <c r="B29" s="13" t="s">
        <v>3394</v>
      </c>
      <c r="C29" s="13" t="s">
        <v>3395</v>
      </c>
      <c r="D29" s="13" t="s">
        <v>3396</v>
      </c>
      <c r="E29" s="13" t="s">
        <v>2860</v>
      </c>
      <c r="F29" s="13" t="s">
        <v>3398</v>
      </c>
    </row>
    <row r="30" ht="15.75" customHeight="1">
      <c r="A30" s="13" t="s">
        <v>3401</v>
      </c>
      <c r="B30" s="13" t="s">
        <v>3403</v>
      </c>
      <c r="C30" s="13" t="s">
        <v>3404</v>
      </c>
      <c r="D30" s="13" t="s">
        <v>3405</v>
      </c>
      <c r="E30" s="13" t="s">
        <v>2853</v>
      </c>
      <c r="F30" s="13" t="s">
        <v>3408</v>
      </c>
    </row>
    <row r="31" ht="15.75" customHeight="1">
      <c r="A31" s="13" t="s">
        <v>3410</v>
      </c>
      <c r="B31" s="13" t="s">
        <v>3411</v>
      </c>
      <c r="C31" s="13" t="s">
        <v>184</v>
      </c>
      <c r="D31" s="13" t="s">
        <v>3238</v>
      </c>
      <c r="E31" s="13" t="s">
        <v>3240</v>
      </c>
      <c r="F31" s="13" t="s">
        <v>3414</v>
      </c>
    </row>
    <row r="32" ht="15.75" customHeight="1">
      <c r="A32" s="13" t="s">
        <v>3415</v>
      </c>
      <c r="B32" s="13" t="s">
        <v>3417</v>
      </c>
      <c r="C32" s="13" t="s">
        <v>212</v>
      </c>
      <c r="D32" s="13" t="s">
        <v>3419</v>
      </c>
      <c r="E32" s="13" t="s">
        <v>2889</v>
      </c>
      <c r="F32" s="13" t="s">
        <v>3422</v>
      </c>
    </row>
    <row r="33" ht="15.75" customHeight="1">
      <c r="A33" s="13" t="s">
        <v>3423</v>
      </c>
      <c r="B33" s="13" t="s">
        <v>3424</v>
      </c>
      <c r="C33" s="13" t="s">
        <v>212</v>
      </c>
      <c r="D33" s="13" t="s">
        <v>3425</v>
      </c>
      <c r="E33" s="13" t="s">
        <v>2860</v>
      </c>
      <c r="F33" s="13" t="s">
        <v>3429</v>
      </c>
    </row>
    <row r="34" ht="15.75" customHeight="1">
      <c r="A34" s="13" t="s">
        <v>3431</v>
      </c>
      <c r="B34" s="13" t="s">
        <v>3433</v>
      </c>
      <c r="C34" s="13" t="s">
        <v>1541</v>
      </c>
      <c r="D34" s="13" t="s">
        <v>3434</v>
      </c>
      <c r="E34" s="13" t="s">
        <v>2871</v>
      </c>
      <c r="F34" s="13" t="s">
        <v>3437</v>
      </c>
    </row>
    <row r="35" ht="15.75" customHeight="1">
      <c r="A35" s="13" t="s">
        <v>3438</v>
      </c>
      <c r="B35" s="13" t="s">
        <v>3441</v>
      </c>
      <c r="C35" s="13" t="s">
        <v>1513</v>
      </c>
      <c r="D35" s="13" t="s">
        <v>3444</v>
      </c>
      <c r="E35" s="13" t="s">
        <v>2871</v>
      </c>
      <c r="F35" s="13" t="s">
        <v>3447</v>
      </c>
    </row>
    <row r="36" ht="15.75" customHeight="1"/>
    <row r="37" ht="15.75" customHeight="1"/>
    <row r="38" ht="15.75" customHeight="1">
      <c r="A38" s="25" t="s">
        <v>3449</v>
      </c>
      <c r="B38" s="26"/>
      <c r="C38" s="26"/>
      <c r="D38" s="26"/>
    </row>
    <row r="39" ht="15.75" customHeight="1">
      <c r="A39" s="27" t="s">
        <v>3453</v>
      </c>
      <c r="B39" s="26"/>
      <c r="C39" s="26"/>
      <c r="D39" s="26"/>
    </row>
    <row r="40" ht="15.75" customHeight="1">
      <c r="A40" s="41" t="s">
        <v>2693</v>
      </c>
      <c r="B40" s="41" t="s">
        <v>3457</v>
      </c>
      <c r="C40" s="41" t="s">
        <v>3446</v>
      </c>
      <c r="D40" s="41" t="s">
        <v>3462</v>
      </c>
    </row>
    <row r="41" ht="15.75" customHeight="1">
      <c r="A41" s="43">
        <v>1.0</v>
      </c>
      <c r="B41" s="13" t="s">
        <v>3467</v>
      </c>
      <c r="C41" s="13" t="s">
        <v>3470</v>
      </c>
      <c r="D41" s="13" t="s">
        <v>3473</v>
      </c>
    </row>
    <row r="42" ht="15.75" customHeight="1">
      <c r="A42" s="43">
        <v>2.0</v>
      </c>
      <c r="B42" s="13" t="s">
        <v>3476</v>
      </c>
      <c r="C42" s="13" t="s">
        <v>3478</v>
      </c>
      <c r="D42" s="13" t="s">
        <v>3481</v>
      </c>
    </row>
    <row r="43" ht="15.75" customHeight="1">
      <c r="A43" s="43">
        <v>3.0</v>
      </c>
      <c r="B43" s="13" t="s">
        <v>3488</v>
      </c>
      <c r="C43" s="13" t="s">
        <v>3491</v>
      </c>
      <c r="D43" s="13" t="s">
        <v>3492</v>
      </c>
    </row>
    <row r="44" ht="15.75" customHeight="1">
      <c r="A44" s="43">
        <v>4.0</v>
      </c>
      <c r="B44" s="13" t="s">
        <v>3494</v>
      </c>
      <c r="C44" s="13" t="s">
        <v>3498</v>
      </c>
      <c r="D44" s="13" t="s">
        <v>3500</v>
      </c>
    </row>
    <row r="45" ht="15.75" customHeight="1">
      <c r="A45" s="43">
        <v>5.0</v>
      </c>
      <c r="B45" s="13" t="s">
        <v>3506</v>
      </c>
      <c r="C45" s="13" t="s">
        <v>3509</v>
      </c>
      <c r="D45" s="13" t="s">
        <v>3510</v>
      </c>
    </row>
    <row r="46" ht="15.75" customHeight="1">
      <c r="A46" s="43">
        <v>6.0</v>
      </c>
      <c r="B46" s="13" t="s">
        <v>3513</v>
      </c>
      <c r="C46" s="13" t="s">
        <v>3516</v>
      </c>
      <c r="D46" s="13" t="s">
        <v>3519</v>
      </c>
    </row>
    <row r="47" ht="15.75" customHeight="1">
      <c r="A47" s="43">
        <v>7.0</v>
      </c>
      <c r="B47" s="13" t="s">
        <v>3533</v>
      </c>
      <c r="C47" s="13" t="s">
        <v>3538</v>
      </c>
      <c r="D47" s="13" t="s">
        <v>3346</v>
      </c>
    </row>
    <row r="48" ht="15.75" customHeight="1">
      <c r="A48" s="43">
        <v>8.0</v>
      </c>
      <c r="B48" s="13" t="s">
        <v>3541</v>
      </c>
      <c r="C48" s="13" t="s">
        <v>3544</v>
      </c>
      <c r="D48" s="13" t="s">
        <v>3547</v>
      </c>
    </row>
    <row r="49" ht="15.75" customHeight="1">
      <c r="A49" s="43">
        <v>9.0</v>
      </c>
      <c r="B49" s="13" t="s">
        <v>3552</v>
      </c>
      <c r="C49" s="13" t="s">
        <v>3554</v>
      </c>
      <c r="D49" s="13" t="s">
        <v>3555</v>
      </c>
    </row>
    <row r="50" ht="15.75" customHeight="1">
      <c r="A50" s="43">
        <v>10.0</v>
      </c>
      <c r="B50" s="13" t="s">
        <v>3558</v>
      </c>
      <c r="C50" s="13" t="s">
        <v>3560</v>
      </c>
      <c r="D50" s="13" t="s">
        <v>3562</v>
      </c>
    </row>
    <row r="51" ht="15.75" customHeight="1">
      <c r="A51" s="43">
        <v>11.0</v>
      </c>
      <c r="B51" s="13" t="s">
        <v>3564</v>
      </c>
      <c r="C51" s="13" t="s">
        <v>3565</v>
      </c>
      <c r="D51" s="13" t="s">
        <v>3567</v>
      </c>
    </row>
    <row r="52" ht="15.75" customHeight="1">
      <c r="A52" s="43">
        <v>12.0</v>
      </c>
      <c r="B52" s="13" t="s">
        <v>3570</v>
      </c>
      <c r="C52" s="13" t="s">
        <v>3572</v>
      </c>
      <c r="D52" s="13" t="s">
        <v>3574</v>
      </c>
    </row>
    <row r="53" ht="15.75" customHeight="1">
      <c r="A53" s="43">
        <v>13.0</v>
      </c>
      <c r="B53" s="13" t="s">
        <v>3577</v>
      </c>
      <c r="C53" s="13" t="s">
        <v>3579</v>
      </c>
      <c r="D53" s="13" t="s">
        <v>3581</v>
      </c>
    </row>
    <row r="54" ht="15.75" customHeight="1">
      <c r="A54" s="43">
        <v>14.0</v>
      </c>
      <c r="B54" s="13" t="s">
        <v>3584</v>
      </c>
      <c r="C54" s="13" t="s">
        <v>3586</v>
      </c>
      <c r="D54" s="13" t="s">
        <v>3587</v>
      </c>
    </row>
    <row r="55" ht="15.75" customHeight="1"/>
    <row r="56" ht="15.75" customHeight="1"/>
    <row r="57" ht="15.75" customHeight="1">
      <c r="A57" s="25" t="s">
        <v>3589</v>
      </c>
      <c r="B57" s="26"/>
      <c r="C57" s="26"/>
      <c r="D57" s="26"/>
      <c r="E57" s="26"/>
    </row>
    <row r="58" ht="15.75" customHeight="1">
      <c r="A58" s="27" t="s">
        <v>3594</v>
      </c>
      <c r="B58" s="26"/>
      <c r="C58" s="26"/>
      <c r="D58" s="26"/>
      <c r="E58" s="26"/>
    </row>
    <row r="59" ht="15.75" customHeight="1">
      <c r="A59" s="41" t="s">
        <v>2693</v>
      </c>
      <c r="B59" s="41" t="s">
        <v>2213</v>
      </c>
      <c r="C59" s="41" t="s">
        <v>3599</v>
      </c>
      <c r="D59" s="41" t="s">
        <v>3601</v>
      </c>
      <c r="E59" s="41" t="s">
        <v>3602</v>
      </c>
    </row>
    <row r="60" ht="15.75" customHeight="1">
      <c r="A60" s="43">
        <v>1.0</v>
      </c>
      <c r="B60" s="13" t="s">
        <v>3605</v>
      </c>
      <c r="C60" s="13" t="s">
        <v>3606</v>
      </c>
      <c r="D60" s="13" t="s">
        <v>3608</v>
      </c>
      <c r="E60" s="13" t="s">
        <v>3610</v>
      </c>
    </row>
    <row r="61" ht="15.75" customHeight="1">
      <c r="A61" s="43">
        <v>2.0</v>
      </c>
      <c r="B61" s="13" t="s">
        <v>3613</v>
      </c>
      <c r="C61" s="13" t="s">
        <v>3615</v>
      </c>
      <c r="D61" s="13" t="s">
        <v>3617</v>
      </c>
      <c r="E61" s="13" t="s">
        <v>3618</v>
      </c>
    </row>
    <row r="62" ht="15.75" customHeight="1">
      <c r="A62" s="43">
        <v>3.0</v>
      </c>
      <c r="B62" s="13" t="s">
        <v>3621</v>
      </c>
      <c r="C62" s="13" t="s">
        <v>3623</v>
      </c>
      <c r="D62" s="13" t="s">
        <v>3625</v>
      </c>
      <c r="E62" s="13" t="s">
        <v>3627</v>
      </c>
    </row>
    <row r="63" ht="15.75" customHeight="1">
      <c r="A63" s="43">
        <v>4.0</v>
      </c>
      <c r="B63" s="13" t="s">
        <v>3629</v>
      </c>
      <c r="C63" s="13" t="s">
        <v>3630</v>
      </c>
      <c r="D63" s="13" t="s">
        <v>3632</v>
      </c>
      <c r="E63" s="13" t="s">
        <v>3634</v>
      </c>
    </row>
    <row r="64" ht="15.75" customHeight="1">
      <c r="A64" s="43">
        <v>5.0</v>
      </c>
      <c r="B64" s="13" t="s">
        <v>3637</v>
      </c>
      <c r="C64" s="13" t="s">
        <v>3639</v>
      </c>
      <c r="D64" s="13" t="s">
        <v>3641</v>
      </c>
      <c r="E64" s="13" t="s">
        <v>3642</v>
      </c>
    </row>
    <row r="65" ht="15.75" customHeight="1">
      <c r="A65" s="43">
        <v>6.0</v>
      </c>
      <c r="B65" s="13" t="s">
        <v>3645</v>
      </c>
      <c r="C65" s="13" t="s">
        <v>3647</v>
      </c>
      <c r="D65" s="13" t="s">
        <v>3650</v>
      </c>
      <c r="E65" s="13" t="s">
        <v>3651</v>
      </c>
    </row>
    <row r="66" ht="15.75" customHeight="1">
      <c r="A66" s="43">
        <v>7.0</v>
      </c>
      <c r="B66" s="13" t="s">
        <v>3653</v>
      </c>
      <c r="C66" s="13" t="s">
        <v>3655</v>
      </c>
      <c r="D66" s="13" t="s">
        <v>3657</v>
      </c>
      <c r="E66" s="13" t="s">
        <v>3659</v>
      </c>
    </row>
    <row r="67" ht="15.75" customHeight="1">
      <c r="A67" s="43">
        <v>8.0</v>
      </c>
      <c r="B67" s="13" t="s">
        <v>3662</v>
      </c>
      <c r="C67" s="13" t="s">
        <v>3664</v>
      </c>
      <c r="D67" s="13" t="s">
        <v>3666</v>
      </c>
      <c r="E67" s="13" t="s">
        <v>3668</v>
      </c>
    </row>
    <row r="68" ht="15.75" customHeight="1">
      <c r="A68" s="43">
        <v>9.0</v>
      </c>
      <c r="B68" s="13" t="s">
        <v>3672</v>
      </c>
      <c r="C68" s="13" t="s">
        <v>3674</v>
      </c>
      <c r="D68" s="13" t="s">
        <v>3676</v>
      </c>
      <c r="E68" s="13" t="s">
        <v>3679</v>
      </c>
    </row>
    <row r="69" ht="15.75" customHeight="1">
      <c r="A69" s="43">
        <v>10.0</v>
      </c>
      <c r="B69" s="13" t="s">
        <v>3682</v>
      </c>
      <c r="C69" s="13" t="s">
        <v>3685</v>
      </c>
      <c r="D69" s="13" t="s">
        <v>3688</v>
      </c>
      <c r="E69" s="13" t="s">
        <v>3692</v>
      </c>
    </row>
    <row r="70" ht="15.75" customHeight="1">
      <c r="A70" s="43">
        <v>11.0</v>
      </c>
      <c r="B70" s="13" t="s">
        <v>3695</v>
      </c>
      <c r="C70" s="13" t="s">
        <v>3697</v>
      </c>
      <c r="D70" s="13" t="s">
        <v>3700</v>
      </c>
      <c r="E70" s="13" t="s">
        <v>3702</v>
      </c>
    </row>
    <row r="71" ht="15.75" customHeight="1"/>
    <row r="72" ht="15.75" customHeight="1"/>
    <row r="73" ht="15.75" customHeight="1">
      <c r="A73" s="25" t="s">
        <v>3706</v>
      </c>
      <c r="B73" s="26"/>
      <c r="C73" s="26"/>
      <c r="D73" s="26"/>
      <c r="E73" s="26"/>
      <c r="F73" s="26"/>
      <c r="G73" s="26"/>
      <c r="H73" s="26"/>
      <c r="I73" s="26"/>
      <c r="J73" s="26"/>
      <c r="K73" s="26"/>
      <c r="L73" s="26"/>
      <c r="M73" s="26"/>
      <c r="N73" s="26"/>
      <c r="O73" s="26"/>
      <c r="P73" s="26"/>
      <c r="Q73" s="26"/>
      <c r="R73" s="26"/>
      <c r="S73" s="26"/>
      <c r="T73" s="26"/>
      <c r="U73" s="26"/>
    </row>
    <row r="74" ht="15.75" customHeight="1">
      <c r="A74" s="27" t="s">
        <v>3741</v>
      </c>
      <c r="B74" s="26"/>
      <c r="C74" s="26"/>
      <c r="D74" s="26"/>
      <c r="E74" s="26"/>
      <c r="F74" s="26"/>
      <c r="G74" s="26"/>
      <c r="H74" s="26"/>
      <c r="I74" s="26"/>
      <c r="J74" s="26"/>
      <c r="K74" s="26"/>
      <c r="L74" s="26"/>
      <c r="M74" s="26"/>
      <c r="N74" s="26"/>
      <c r="O74" s="26"/>
      <c r="P74" s="26"/>
      <c r="Q74" s="26"/>
      <c r="R74" s="26"/>
      <c r="S74" s="26"/>
      <c r="T74" s="26"/>
      <c r="U74" s="26"/>
    </row>
    <row r="75" ht="15.75" customHeight="1">
      <c r="A75" s="41" t="s">
        <v>1099</v>
      </c>
      <c r="B75" s="41" t="s">
        <v>3755</v>
      </c>
      <c r="C75" s="41" t="s">
        <v>1791</v>
      </c>
      <c r="D75" s="41" t="s">
        <v>1793</v>
      </c>
      <c r="E75" s="41" t="s">
        <v>1920</v>
      </c>
      <c r="F75" s="41" t="s">
        <v>3758</v>
      </c>
      <c r="G75" s="41" t="s">
        <v>1796</v>
      </c>
      <c r="H75" s="41" t="s">
        <v>1798</v>
      </c>
      <c r="I75" s="41" t="s">
        <v>1800</v>
      </c>
      <c r="J75" s="41" t="s">
        <v>2039</v>
      </c>
      <c r="K75" s="41" t="s">
        <v>2041</v>
      </c>
      <c r="L75" s="41" t="s">
        <v>482</v>
      </c>
      <c r="M75" s="41" t="s">
        <v>484</v>
      </c>
      <c r="N75" s="41" t="s">
        <v>486</v>
      </c>
      <c r="O75" s="41" t="s">
        <v>3765</v>
      </c>
      <c r="P75" s="41" t="s">
        <v>3767</v>
      </c>
      <c r="Q75" s="41" t="s">
        <v>3769</v>
      </c>
      <c r="R75" s="41" t="s">
        <v>3771</v>
      </c>
      <c r="S75" s="41" t="s">
        <v>3772</v>
      </c>
      <c r="T75" s="41" t="s">
        <v>3773</v>
      </c>
      <c r="U75" s="41" t="s">
        <v>3774</v>
      </c>
    </row>
    <row r="76" ht="15.75" customHeight="1">
      <c r="A76" s="13" t="s">
        <v>527</v>
      </c>
      <c r="B76" s="43">
        <v>1.0</v>
      </c>
      <c r="C76" s="43">
        <v>259993.0</v>
      </c>
      <c r="D76" s="43">
        <v>101.0</v>
      </c>
      <c r="E76" s="43">
        <v>7.0</v>
      </c>
      <c r="F76" s="43">
        <v>7.3</v>
      </c>
      <c r="G76" s="43">
        <v>5.0</v>
      </c>
      <c r="H76" s="43">
        <v>26.0</v>
      </c>
      <c r="I76" s="43">
        <v>4.0</v>
      </c>
      <c r="J76" s="43">
        <v>70.0</v>
      </c>
      <c r="K76" s="43">
        <v>51999.0</v>
      </c>
      <c r="L76" s="43">
        <v>84.5</v>
      </c>
      <c r="M76" s="43">
        <v>83.8</v>
      </c>
      <c r="N76" s="43">
        <v>240.2</v>
      </c>
      <c r="O76" s="43">
        <v>38.0</v>
      </c>
      <c r="P76" s="43">
        <v>10.1</v>
      </c>
      <c r="Q76" s="43">
        <v>5.9</v>
      </c>
      <c r="R76" s="13" t="s">
        <v>1808</v>
      </c>
      <c r="S76" s="13" t="s">
        <v>1808</v>
      </c>
      <c r="T76" s="13" t="s">
        <v>1808</v>
      </c>
      <c r="U76" s="13" t="s">
        <v>1808</v>
      </c>
    </row>
    <row r="77" ht="15.75" customHeight="1">
      <c r="A77" s="13" t="s">
        <v>648</v>
      </c>
      <c r="B77" s="43">
        <v>2.0</v>
      </c>
      <c r="C77" s="43">
        <v>58377.0</v>
      </c>
      <c r="D77" s="43">
        <v>37.0</v>
      </c>
      <c r="E77" s="43">
        <v>7.0</v>
      </c>
      <c r="F77" s="43">
        <v>18.9</v>
      </c>
      <c r="G77" s="43">
        <v>1.0</v>
      </c>
      <c r="H77" s="43">
        <v>1.0</v>
      </c>
      <c r="I77" s="43">
        <v>1.0</v>
      </c>
      <c r="J77" s="43">
        <v>36.0</v>
      </c>
      <c r="K77" s="43">
        <v>58377.0</v>
      </c>
      <c r="L77" s="43">
        <v>111.0</v>
      </c>
      <c r="M77" s="43">
        <v>98.5</v>
      </c>
      <c r="N77" s="43">
        <v>319.6</v>
      </c>
      <c r="O77" s="43">
        <v>50.6</v>
      </c>
      <c r="P77" s="43">
        <v>7.0</v>
      </c>
      <c r="Q77" s="43">
        <v>1.5</v>
      </c>
      <c r="R77" s="13" t="s">
        <v>1811</v>
      </c>
      <c r="S77" s="13" t="s">
        <v>344</v>
      </c>
      <c r="T77" s="13" t="s">
        <v>344</v>
      </c>
      <c r="U77" s="13" t="s">
        <v>1811</v>
      </c>
    </row>
    <row r="78" ht="15.75" customHeight="1">
      <c r="A78" s="13" t="s">
        <v>694</v>
      </c>
      <c r="B78" s="43">
        <v>1.0</v>
      </c>
      <c r="C78" s="43">
        <v>51081.0</v>
      </c>
      <c r="D78" s="43">
        <v>26.0</v>
      </c>
      <c r="E78" s="43">
        <v>1.0</v>
      </c>
      <c r="F78" s="43">
        <v>3.8</v>
      </c>
      <c r="G78" s="43">
        <v>1.0</v>
      </c>
      <c r="H78" s="43">
        <v>26.0</v>
      </c>
      <c r="I78" s="43">
        <v>1.0</v>
      </c>
      <c r="J78" s="43">
        <v>0.0</v>
      </c>
      <c r="K78" s="43">
        <v>51081.0</v>
      </c>
      <c r="L78" s="43">
        <v>89.6</v>
      </c>
      <c r="M78" s="43">
        <v>93.2</v>
      </c>
      <c r="N78" s="43">
        <v>137.9</v>
      </c>
      <c r="O78" s="43">
        <v>21.8</v>
      </c>
      <c r="P78" s="43">
        <v>0.6</v>
      </c>
      <c r="Q78" s="43">
        <v>2.7</v>
      </c>
      <c r="R78" s="13" t="s">
        <v>1808</v>
      </c>
      <c r="S78" s="13" t="s">
        <v>1811</v>
      </c>
      <c r="T78" s="13" t="s">
        <v>1811</v>
      </c>
      <c r="U78" s="13" t="s">
        <v>1808</v>
      </c>
    </row>
    <row r="79" ht="15.75" customHeight="1">
      <c r="A79" s="13" t="s">
        <v>745</v>
      </c>
      <c r="B79" s="43">
        <v>1.0</v>
      </c>
      <c r="C79" s="43">
        <v>50959.0</v>
      </c>
      <c r="D79" s="43">
        <v>38.0</v>
      </c>
      <c r="E79" s="43">
        <v>7.0</v>
      </c>
      <c r="F79" s="43">
        <v>18.4</v>
      </c>
      <c r="G79" s="43">
        <v>1.0</v>
      </c>
      <c r="H79" s="43">
        <v>2.0</v>
      </c>
      <c r="I79" s="43">
        <v>0.0</v>
      </c>
      <c r="J79" s="43">
        <v>36.0</v>
      </c>
      <c r="K79" s="43">
        <v>50959.0</v>
      </c>
      <c r="L79" s="43">
        <v>95.8</v>
      </c>
      <c r="M79" s="43">
        <v>99.9</v>
      </c>
      <c r="N79" s="43">
        <v>104.5</v>
      </c>
      <c r="O79" s="43">
        <v>16.5</v>
      </c>
      <c r="P79" s="43">
        <v>10.4</v>
      </c>
      <c r="Q79" s="43">
        <v>3.4</v>
      </c>
      <c r="R79" s="13" t="s">
        <v>1808</v>
      </c>
      <c r="S79" s="13" t="s">
        <v>1808</v>
      </c>
      <c r="T79" s="13" t="s">
        <v>1811</v>
      </c>
      <c r="U79" s="13" t="s">
        <v>1808</v>
      </c>
    </row>
    <row r="80" ht="15.75" customHeight="1">
      <c r="A80" s="13" t="s">
        <v>770</v>
      </c>
      <c r="B80" s="43">
        <v>1.0</v>
      </c>
      <c r="C80" s="43">
        <v>46233.0</v>
      </c>
      <c r="D80" s="43">
        <v>34.0</v>
      </c>
      <c r="E80" s="43">
        <v>1.0</v>
      </c>
      <c r="F80" s="43">
        <v>2.9</v>
      </c>
      <c r="G80" s="43">
        <v>1.0</v>
      </c>
      <c r="H80" s="43">
        <v>5.0</v>
      </c>
      <c r="I80" s="43">
        <v>1.0</v>
      </c>
      <c r="J80" s="43">
        <v>29.0</v>
      </c>
      <c r="K80" s="43">
        <v>46233.0</v>
      </c>
      <c r="L80" s="43">
        <v>89.0</v>
      </c>
      <c r="M80" s="43">
        <v>88.4</v>
      </c>
      <c r="N80" s="43">
        <v>234.3</v>
      </c>
      <c r="O80" s="43">
        <v>37.1</v>
      </c>
      <c r="P80" s="43">
        <v>3.7</v>
      </c>
      <c r="Q80" s="43">
        <v>2.8</v>
      </c>
      <c r="R80" s="13" t="s">
        <v>1808</v>
      </c>
      <c r="S80" s="13" t="s">
        <v>1808</v>
      </c>
      <c r="T80" s="13" t="s">
        <v>1811</v>
      </c>
      <c r="U80" s="13" t="s">
        <v>1808</v>
      </c>
    </row>
    <row r="81" ht="15.75" customHeight="1">
      <c r="A81" s="13" t="s">
        <v>797</v>
      </c>
      <c r="B81" s="43">
        <v>1.0</v>
      </c>
      <c r="C81" s="43">
        <v>40558.0</v>
      </c>
      <c r="D81" s="43">
        <v>37.0</v>
      </c>
      <c r="E81" s="43">
        <v>9.0</v>
      </c>
      <c r="F81" s="43">
        <v>24.3</v>
      </c>
      <c r="G81" s="43">
        <v>1.0</v>
      </c>
      <c r="H81" s="43">
        <v>4.0</v>
      </c>
      <c r="I81" s="43">
        <v>0.0</v>
      </c>
      <c r="J81" s="43">
        <v>33.0</v>
      </c>
      <c r="K81" s="43">
        <v>40558.0</v>
      </c>
      <c r="L81" s="43">
        <v>89.1</v>
      </c>
      <c r="M81" s="43">
        <v>65.7</v>
      </c>
      <c r="N81" s="43">
        <v>131.2</v>
      </c>
      <c r="O81" s="43">
        <v>20.8</v>
      </c>
      <c r="P81" s="43">
        <v>2.2</v>
      </c>
      <c r="Q81" s="43">
        <v>10.5</v>
      </c>
      <c r="R81" s="13" t="s">
        <v>1808</v>
      </c>
      <c r="S81" s="13" t="s">
        <v>1808</v>
      </c>
      <c r="T81" s="13" t="s">
        <v>1808</v>
      </c>
      <c r="U81" s="13" t="s">
        <v>1808</v>
      </c>
    </row>
    <row r="82" ht="15.75" customHeight="1">
      <c r="A82" s="13" t="s">
        <v>823</v>
      </c>
      <c r="B82" s="43">
        <v>2.0</v>
      </c>
      <c r="C82" s="43">
        <v>40047.0</v>
      </c>
      <c r="D82" s="43">
        <v>38.0</v>
      </c>
      <c r="E82" s="43">
        <v>8.0</v>
      </c>
      <c r="F82" s="43">
        <v>21.1</v>
      </c>
      <c r="G82" s="43">
        <v>1.0</v>
      </c>
      <c r="H82" s="43">
        <v>8.0</v>
      </c>
      <c r="I82" s="43">
        <v>1.0</v>
      </c>
      <c r="J82" s="43">
        <v>30.0</v>
      </c>
      <c r="K82" s="43">
        <v>40047.0</v>
      </c>
      <c r="L82" s="43">
        <v>35.8</v>
      </c>
      <c r="M82" s="43">
        <v>85.1</v>
      </c>
      <c r="N82" s="43">
        <v>111.4</v>
      </c>
      <c r="O82" s="43">
        <v>17.6</v>
      </c>
      <c r="P82" s="43">
        <v>0.2</v>
      </c>
      <c r="Q82" s="43">
        <v>4.1</v>
      </c>
      <c r="R82" s="13" t="s">
        <v>1808</v>
      </c>
      <c r="S82" s="13" t="s">
        <v>1808</v>
      </c>
      <c r="T82" s="13" t="s">
        <v>1811</v>
      </c>
      <c r="U82" s="13" t="s">
        <v>1811</v>
      </c>
    </row>
    <row r="83" ht="15.75" customHeight="1">
      <c r="A83" s="13" t="s">
        <v>870</v>
      </c>
      <c r="B83" s="43">
        <v>1.0</v>
      </c>
      <c r="C83" s="43">
        <v>37292.0</v>
      </c>
      <c r="D83" s="43">
        <v>34.0</v>
      </c>
      <c r="E83" s="43">
        <v>4.0</v>
      </c>
      <c r="F83" s="43">
        <v>11.8</v>
      </c>
      <c r="G83" s="43">
        <v>1.0</v>
      </c>
      <c r="H83" s="43">
        <v>2.0</v>
      </c>
      <c r="I83" s="43">
        <v>0.0</v>
      </c>
      <c r="J83" s="43">
        <v>32.0</v>
      </c>
      <c r="K83" s="43">
        <v>37292.0</v>
      </c>
      <c r="L83" s="43">
        <v>26.2</v>
      </c>
      <c r="M83" s="43">
        <v>83.8</v>
      </c>
      <c r="N83" s="43">
        <v>100.2</v>
      </c>
      <c r="O83" s="43">
        <v>15.9</v>
      </c>
      <c r="P83" s="43">
        <v>1.3</v>
      </c>
      <c r="Q83" s="43">
        <v>1.4</v>
      </c>
      <c r="R83" s="13" t="s">
        <v>1811</v>
      </c>
      <c r="S83" s="13" t="s">
        <v>1811</v>
      </c>
      <c r="T83" s="13" t="s">
        <v>1811</v>
      </c>
      <c r="U83" s="13" t="s">
        <v>1811</v>
      </c>
    </row>
    <row r="84" ht="15.75" customHeight="1">
      <c r="A84" s="13" t="s">
        <v>908</v>
      </c>
      <c r="B84" s="43">
        <v>1.0</v>
      </c>
      <c r="C84" s="43">
        <v>37190.0</v>
      </c>
      <c r="D84" s="43">
        <v>44.0</v>
      </c>
      <c r="E84" s="43">
        <v>0.0</v>
      </c>
      <c r="F84" s="43">
        <v>0.0</v>
      </c>
      <c r="G84" s="43">
        <v>1.0</v>
      </c>
      <c r="H84" s="43">
        <v>0.0</v>
      </c>
      <c r="I84" s="43">
        <v>2.0</v>
      </c>
      <c r="J84" s="43">
        <v>44.0</v>
      </c>
      <c r="K84" s="43">
        <v>37190.0</v>
      </c>
      <c r="L84" s="43">
        <v>98.4</v>
      </c>
      <c r="M84" s="43">
        <v>95.2</v>
      </c>
      <c r="N84" s="43">
        <v>139.2</v>
      </c>
      <c r="O84" s="43">
        <v>22.0</v>
      </c>
      <c r="P84" s="43">
        <v>0.2</v>
      </c>
      <c r="Q84" s="43">
        <v>0.6</v>
      </c>
      <c r="R84" s="13" t="s">
        <v>1808</v>
      </c>
      <c r="S84" s="13" t="s">
        <v>1811</v>
      </c>
      <c r="T84" s="13" t="s">
        <v>1811</v>
      </c>
      <c r="U84" s="13" t="s">
        <v>1808</v>
      </c>
    </row>
    <row r="85" ht="15.75" customHeight="1">
      <c r="A85" s="13" t="s">
        <v>934</v>
      </c>
      <c r="B85" s="43">
        <v>1.0</v>
      </c>
      <c r="C85" s="43">
        <v>36803.0</v>
      </c>
      <c r="D85" s="43">
        <v>35.0</v>
      </c>
      <c r="E85" s="43">
        <v>16.0</v>
      </c>
      <c r="F85" s="43">
        <v>45.7</v>
      </c>
      <c r="G85" s="43">
        <v>1.0</v>
      </c>
      <c r="H85" s="43">
        <v>3.0</v>
      </c>
      <c r="I85" s="43">
        <v>0.0</v>
      </c>
      <c r="J85" s="43">
        <v>32.0</v>
      </c>
      <c r="K85" s="43">
        <v>36803.0</v>
      </c>
      <c r="L85" s="43">
        <v>101.4</v>
      </c>
      <c r="M85" s="13" t="s">
        <v>344</v>
      </c>
      <c r="N85" s="43">
        <v>105.3</v>
      </c>
      <c r="O85" s="43">
        <v>16.7</v>
      </c>
      <c r="P85" s="43">
        <v>2.5</v>
      </c>
      <c r="Q85" s="43">
        <v>0.3</v>
      </c>
      <c r="R85" s="13" t="s">
        <v>1808</v>
      </c>
      <c r="S85" s="13" t="s">
        <v>1811</v>
      </c>
      <c r="T85" s="13" t="s">
        <v>1811</v>
      </c>
      <c r="U85" s="13" t="s">
        <v>1808</v>
      </c>
    </row>
    <row r="86" ht="15.75" customHeight="1">
      <c r="A86" s="13" t="s">
        <v>946</v>
      </c>
      <c r="B86" s="43">
        <v>2.0</v>
      </c>
      <c r="C86" s="43">
        <v>33897.0</v>
      </c>
      <c r="D86" s="43">
        <v>32.0</v>
      </c>
      <c r="E86" s="43">
        <v>18.0</v>
      </c>
      <c r="F86" s="43">
        <v>56.2</v>
      </c>
      <c r="G86" s="43">
        <v>1.0</v>
      </c>
      <c r="H86" s="43">
        <v>0.0</v>
      </c>
      <c r="I86" s="43">
        <v>0.0</v>
      </c>
      <c r="J86" s="43">
        <v>32.0</v>
      </c>
      <c r="K86" s="43">
        <v>33897.0</v>
      </c>
      <c r="L86" s="43">
        <v>6.6</v>
      </c>
      <c r="M86" s="43">
        <v>72.0</v>
      </c>
      <c r="N86" s="43">
        <v>72.5</v>
      </c>
      <c r="O86" s="43">
        <v>11.5</v>
      </c>
      <c r="P86" s="43">
        <v>0.8</v>
      </c>
      <c r="Q86" s="43">
        <v>5.1</v>
      </c>
      <c r="R86" s="13" t="s">
        <v>1808</v>
      </c>
      <c r="S86" s="13" t="s">
        <v>1811</v>
      </c>
      <c r="T86" s="13" t="s">
        <v>1811</v>
      </c>
      <c r="U86" s="13" t="s">
        <v>1811</v>
      </c>
    </row>
    <row r="87" ht="15.75" customHeight="1">
      <c r="A87" s="13" t="s">
        <v>963</v>
      </c>
      <c r="B87" s="43">
        <v>2.0</v>
      </c>
      <c r="C87" s="43">
        <v>33595.0</v>
      </c>
      <c r="D87" s="43">
        <v>24.0</v>
      </c>
      <c r="E87" s="43">
        <v>16.0</v>
      </c>
      <c r="F87" s="43">
        <v>66.7</v>
      </c>
      <c r="G87" s="43">
        <v>1.0</v>
      </c>
      <c r="H87" s="43">
        <v>5.0</v>
      </c>
      <c r="I87" s="43">
        <v>0.0</v>
      </c>
      <c r="J87" s="43">
        <v>19.0</v>
      </c>
      <c r="K87" s="43">
        <v>33595.0</v>
      </c>
      <c r="L87" s="43">
        <v>81.0</v>
      </c>
      <c r="M87" s="43">
        <v>91.4</v>
      </c>
      <c r="N87" s="43">
        <v>222.4</v>
      </c>
      <c r="O87" s="43">
        <v>35.2</v>
      </c>
      <c r="P87" s="43">
        <v>0.4</v>
      </c>
      <c r="Q87" s="43">
        <v>0.9</v>
      </c>
      <c r="R87" s="13" t="s">
        <v>1811</v>
      </c>
      <c r="S87" s="13" t="s">
        <v>1811</v>
      </c>
      <c r="T87" s="13" t="s">
        <v>1811</v>
      </c>
      <c r="U87" s="13" t="s">
        <v>1811</v>
      </c>
    </row>
    <row r="88" ht="15.75" customHeight="1">
      <c r="A88" s="13" t="s">
        <v>994</v>
      </c>
      <c r="B88" s="43">
        <v>1.0</v>
      </c>
      <c r="C88" s="43">
        <v>33307.0</v>
      </c>
      <c r="D88" s="43">
        <v>25.0</v>
      </c>
      <c r="E88" s="43">
        <v>21.0</v>
      </c>
      <c r="F88" s="43">
        <v>84.0</v>
      </c>
      <c r="G88" s="43">
        <v>1.0</v>
      </c>
      <c r="H88" s="43">
        <v>2.0</v>
      </c>
      <c r="I88" s="43">
        <v>0.0</v>
      </c>
      <c r="J88" s="43">
        <v>23.0</v>
      </c>
      <c r="K88" s="43">
        <v>33307.0</v>
      </c>
      <c r="L88" s="43">
        <v>39.9</v>
      </c>
      <c r="M88" s="43">
        <v>97.0</v>
      </c>
      <c r="N88" s="43">
        <v>110.6</v>
      </c>
      <c r="O88" s="43">
        <v>17.5</v>
      </c>
      <c r="P88" s="43">
        <v>24.7</v>
      </c>
      <c r="Q88" s="43">
        <v>1.1</v>
      </c>
      <c r="R88" s="13" t="s">
        <v>1811</v>
      </c>
      <c r="S88" s="13" t="s">
        <v>1808</v>
      </c>
      <c r="T88" s="13" t="s">
        <v>1811</v>
      </c>
      <c r="U88" s="13" t="s">
        <v>1808</v>
      </c>
    </row>
    <row r="89" ht="15.75" customHeight="1">
      <c r="A89" s="13" t="s">
        <v>1019</v>
      </c>
      <c r="B89" s="43">
        <v>2.0</v>
      </c>
      <c r="C89" s="43">
        <v>31227.0</v>
      </c>
      <c r="D89" s="43">
        <v>27.0</v>
      </c>
      <c r="E89" s="43">
        <v>1.0</v>
      </c>
      <c r="F89" s="43">
        <v>3.7</v>
      </c>
      <c r="G89" s="43">
        <v>1.0</v>
      </c>
      <c r="H89" s="43">
        <v>3.0</v>
      </c>
      <c r="I89" s="43">
        <v>0.0</v>
      </c>
      <c r="J89" s="43">
        <v>24.0</v>
      </c>
      <c r="K89" s="43">
        <v>31227.0</v>
      </c>
      <c r="L89" s="43">
        <v>56.6</v>
      </c>
      <c r="M89" s="43">
        <v>96.1</v>
      </c>
      <c r="N89" s="43">
        <v>356.9</v>
      </c>
      <c r="O89" s="43">
        <v>56.5</v>
      </c>
      <c r="P89" s="43">
        <v>1.2</v>
      </c>
      <c r="Q89" s="43">
        <v>28.1</v>
      </c>
      <c r="R89" s="13" t="s">
        <v>1811</v>
      </c>
      <c r="S89" s="13" t="s">
        <v>1811</v>
      </c>
      <c r="T89" s="13" t="s">
        <v>1811</v>
      </c>
      <c r="U89" s="13" t="s">
        <v>1811</v>
      </c>
    </row>
    <row r="90" ht="15.75" customHeight="1">
      <c r="A90" s="13" t="s">
        <v>1036</v>
      </c>
      <c r="B90" s="43">
        <v>2.0</v>
      </c>
      <c r="C90" s="43">
        <v>30227.0</v>
      </c>
      <c r="D90" s="43">
        <v>49.0</v>
      </c>
      <c r="E90" s="43">
        <v>3.0</v>
      </c>
      <c r="F90" s="43">
        <v>6.1</v>
      </c>
      <c r="G90" s="43">
        <v>1.0</v>
      </c>
      <c r="H90" s="43">
        <v>3.0</v>
      </c>
      <c r="I90" s="43">
        <v>0.0</v>
      </c>
      <c r="J90" s="43">
        <v>46.0</v>
      </c>
      <c r="K90" s="43">
        <v>30227.0</v>
      </c>
      <c r="L90" s="43">
        <v>81.0</v>
      </c>
      <c r="M90" s="43">
        <v>0.0</v>
      </c>
      <c r="N90" s="43">
        <v>36.6</v>
      </c>
      <c r="O90" s="43">
        <v>5.8</v>
      </c>
      <c r="P90" s="43">
        <v>2.2</v>
      </c>
      <c r="Q90" s="43">
        <v>0.5</v>
      </c>
      <c r="R90" s="13" t="s">
        <v>1811</v>
      </c>
      <c r="S90" s="13" t="s">
        <v>1811</v>
      </c>
      <c r="T90" s="13" t="s">
        <v>1811</v>
      </c>
      <c r="U90" s="13" t="s">
        <v>1811</v>
      </c>
    </row>
    <row r="91" ht="15.75" customHeight="1">
      <c r="A91" s="13" t="s">
        <v>1047</v>
      </c>
      <c r="B91" s="43">
        <v>2.0</v>
      </c>
      <c r="C91" s="43">
        <v>30044.0</v>
      </c>
      <c r="D91" s="43">
        <v>37.0</v>
      </c>
      <c r="E91" s="43">
        <v>15.0</v>
      </c>
      <c r="F91" s="43">
        <v>40.5</v>
      </c>
      <c r="G91" s="43">
        <v>1.0</v>
      </c>
      <c r="H91" s="43">
        <v>1.0</v>
      </c>
      <c r="I91" s="43">
        <v>0.0</v>
      </c>
      <c r="J91" s="43">
        <v>36.0</v>
      </c>
      <c r="K91" s="43">
        <v>30044.0</v>
      </c>
      <c r="L91" s="43">
        <v>74.9</v>
      </c>
      <c r="M91" s="13" t="s">
        <v>344</v>
      </c>
      <c r="N91" s="43">
        <v>72.2</v>
      </c>
      <c r="O91" s="43">
        <v>11.4</v>
      </c>
      <c r="P91" s="43">
        <v>2.6</v>
      </c>
      <c r="Q91" s="43">
        <v>0.0</v>
      </c>
      <c r="R91" s="13" t="s">
        <v>1808</v>
      </c>
      <c r="S91" s="13" t="s">
        <v>1811</v>
      </c>
      <c r="T91" s="13" t="s">
        <v>1811</v>
      </c>
      <c r="U91" s="13" t="s">
        <v>1811</v>
      </c>
    </row>
    <row r="92" ht="15.75" customHeight="1">
      <c r="A92" s="13" t="s">
        <v>1052</v>
      </c>
      <c r="B92" s="43">
        <v>1.0</v>
      </c>
      <c r="C92" s="43">
        <v>29558.0</v>
      </c>
      <c r="D92" s="43">
        <v>43.0</v>
      </c>
      <c r="E92" s="43">
        <v>0.0</v>
      </c>
      <c r="F92" s="43">
        <v>0.0</v>
      </c>
      <c r="G92" s="43">
        <v>1.0</v>
      </c>
      <c r="H92" s="43">
        <v>2.0</v>
      </c>
      <c r="I92" s="43">
        <v>0.0</v>
      </c>
      <c r="J92" s="43">
        <v>41.0</v>
      </c>
      <c r="K92" s="43">
        <v>29558.0</v>
      </c>
      <c r="L92" s="43">
        <v>20.9</v>
      </c>
      <c r="M92" s="43">
        <v>94.1</v>
      </c>
      <c r="N92" s="43">
        <v>122.6</v>
      </c>
      <c r="O92" s="43">
        <v>19.4</v>
      </c>
      <c r="P92" s="43">
        <v>0.3</v>
      </c>
      <c r="Q92" s="43">
        <v>15.6</v>
      </c>
      <c r="R92" s="13" t="s">
        <v>1808</v>
      </c>
      <c r="S92" s="13" t="s">
        <v>1808</v>
      </c>
      <c r="T92" s="13" t="s">
        <v>1811</v>
      </c>
      <c r="U92" s="13" t="s">
        <v>1811</v>
      </c>
    </row>
    <row r="93" ht="15.75" customHeight="1">
      <c r="A93" s="13" t="s">
        <v>1056</v>
      </c>
      <c r="B93" s="43">
        <v>1.0</v>
      </c>
      <c r="C93" s="43">
        <v>28807.0</v>
      </c>
      <c r="D93" s="43">
        <v>30.0</v>
      </c>
      <c r="E93" s="43">
        <v>0.0</v>
      </c>
      <c r="F93" s="43">
        <v>0.0</v>
      </c>
      <c r="G93" s="43">
        <v>1.0</v>
      </c>
      <c r="H93" s="43">
        <v>6.0</v>
      </c>
      <c r="I93" s="43">
        <v>0.0</v>
      </c>
      <c r="J93" s="43">
        <v>24.0</v>
      </c>
      <c r="K93" s="43">
        <v>28807.0</v>
      </c>
      <c r="L93" s="43">
        <v>70.6</v>
      </c>
      <c r="M93" s="43">
        <v>100.0</v>
      </c>
      <c r="N93" s="43">
        <v>189.1</v>
      </c>
      <c r="O93" s="43">
        <v>29.9</v>
      </c>
      <c r="P93" s="43">
        <v>0.0</v>
      </c>
      <c r="Q93" s="43">
        <v>1.9</v>
      </c>
      <c r="R93" s="13" t="s">
        <v>1811</v>
      </c>
      <c r="S93" s="13" t="s">
        <v>1811</v>
      </c>
      <c r="T93" s="13" t="s">
        <v>1811</v>
      </c>
      <c r="U93" s="13" t="s">
        <v>1808</v>
      </c>
    </row>
    <row r="94" ht="15.75" customHeight="1">
      <c r="A94" s="13" t="s">
        <v>1072</v>
      </c>
      <c r="B94" s="43">
        <v>1.0</v>
      </c>
      <c r="C94" s="43">
        <v>28733.0</v>
      </c>
      <c r="D94" s="43">
        <v>36.0</v>
      </c>
      <c r="E94" s="43">
        <v>2.0</v>
      </c>
      <c r="F94" s="43">
        <v>5.6</v>
      </c>
      <c r="G94" s="43">
        <v>1.0</v>
      </c>
      <c r="H94" s="43">
        <v>2.0</v>
      </c>
      <c r="I94" s="43">
        <v>0.0</v>
      </c>
      <c r="J94" s="43">
        <v>34.0</v>
      </c>
      <c r="K94" s="43">
        <v>28733.0</v>
      </c>
      <c r="L94" s="43">
        <v>102.7</v>
      </c>
      <c r="M94" s="43">
        <v>94.4</v>
      </c>
      <c r="N94" s="43">
        <v>129.8</v>
      </c>
      <c r="O94" s="43">
        <v>20.5</v>
      </c>
      <c r="P94" s="43">
        <v>0.0</v>
      </c>
      <c r="Q94" s="43">
        <v>21.9</v>
      </c>
      <c r="R94" s="13" t="s">
        <v>1811</v>
      </c>
      <c r="S94" s="13" t="s">
        <v>1811</v>
      </c>
      <c r="T94" s="13" t="s">
        <v>1811</v>
      </c>
      <c r="U94" s="13" t="s">
        <v>1808</v>
      </c>
    </row>
    <row r="95" ht="15.75" customHeight="1">
      <c r="A95" s="13" t="s">
        <v>1080</v>
      </c>
      <c r="B95" s="43">
        <v>2.0</v>
      </c>
      <c r="C95" s="43">
        <v>27031.0</v>
      </c>
      <c r="D95" s="43">
        <v>26.0</v>
      </c>
      <c r="E95" s="43">
        <v>4.0</v>
      </c>
      <c r="F95" s="43">
        <v>15.4</v>
      </c>
      <c r="G95" s="43">
        <v>1.0</v>
      </c>
      <c r="H95" s="43">
        <v>0.0</v>
      </c>
      <c r="I95" s="43">
        <v>1.0</v>
      </c>
      <c r="J95" s="43">
        <v>26.0</v>
      </c>
      <c r="K95" s="43">
        <v>27031.0</v>
      </c>
      <c r="L95" s="43">
        <v>85.2</v>
      </c>
      <c r="M95" s="43">
        <v>21.2</v>
      </c>
      <c r="N95" s="43">
        <v>55.7</v>
      </c>
      <c r="O95" s="43">
        <v>8.8</v>
      </c>
      <c r="P95" s="43">
        <v>2.4</v>
      </c>
      <c r="Q95" s="43">
        <v>30.2</v>
      </c>
      <c r="R95" s="13" t="s">
        <v>1808</v>
      </c>
      <c r="S95" s="13" t="s">
        <v>1811</v>
      </c>
      <c r="T95" s="13" t="s">
        <v>1811</v>
      </c>
      <c r="U95" s="13" t="s">
        <v>1811</v>
      </c>
    </row>
    <row r="96" ht="15.75" customHeight="1">
      <c r="A96" s="13" t="s">
        <v>1094</v>
      </c>
      <c r="B96" s="43">
        <v>1.0</v>
      </c>
      <c r="C96" s="43">
        <v>26918.0</v>
      </c>
      <c r="D96" s="43">
        <v>35.0</v>
      </c>
      <c r="E96" s="43">
        <v>1.0</v>
      </c>
      <c r="F96" s="43">
        <v>2.9</v>
      </c>
      <c r="G96" s="43">
        <v>1.0</v>
      </c>
      <c r="H96" s="43">
        <v>3.0</v>
      </c>
      <c r="I96" s="43">
        <v>0.0</v>
      </c>
      <c r="J96" s="43">
        <v>32.0</v>
      </c>
      <c r="K96" s="43">
        <v>26918.0</v>
      </c>
      <c r="L96" s="43">
        <v>91.8</v>
      </c>
      <c r="M96" s="43">
        <v>96.5</v>
      </c>
      <c r="N96" s="43">
        <v>122.1</v>
      </c>
      <c r="O96" s="43">
        <v>19.3</v>
      </c>
      <c r="P96" s="43">
        <v>0.9</v>
      </c>
      <c r="Q96" s="43">
        <v>2.4</v>
      </c>
      <c r="R96" s="13" t="s">
        <v>1811</v>
      </c>
      <c r="S96" s="13" t="s">
        <v>1811</v>
      </c>
      <c r="T96" s="13" t="s">
        <v>1811</v>
      </c>
      <c r="U96" s="13" t="s">
        <v>1808</v>
      </c>
    </row>
    <row r="97" ht="15.75" customHeight="1">
      <c r="A97" s="13" t="s">
        <v>1112</v>
      </c>
      <c r="B97" s="43">
        <v>2.0</v>
      </c>
      <c r="C97" s="43">
        <v>26283.0</v>
      </c>
      <c r="D97" s="43">
        <v>23.0</v>
      </c>
      <c r="E97" s="43">
        <v>4.0</v>
      </c>
      <c r="F97" s="43">
        <v>17.4</v>
      </c>
      <c r="G97" s="43">
        <v>1.0</v>
      </c>
      <c r="H97" s="43">
        <v>1.0</v>
      </c>
      <c r="I97" s="43">
        <v>0.0</v>
      </c>
      <c r="J97" s="43">
        <v>22.0</v>
      </c>
      <c r="K97" s="43">
        <v>26283.0</v>
      </c>
      <c r="L97" s="43">
        <v>71.5</v>
      </c>
      <c r="M97" s="43">
        <v>31.2</v>
      </c>
      <c r="N97" s="43">
        <v>77.4</v>
      </c>
      <c r="O97" s="43">
        <v>12.3</v>
      </c>
      <c r="P97" s="43">
        <v>1.4</v>
      </c>
      <c r="Q97" s="43">
        <v>7.7</v>
      </c>
      <c r="R97" s="13" t="s">
        <v>1811</v>
      </c>
      <c r="S97" s="13" t="s">
        <v>1811</v>
      </c>
      <c r="T97" s="13" t="s">
        <v>1811</v>
      </c>
      <c r="U97" s="13" t="s">
        <v>1811</v>
      </c>
    </row>
    <row r="98" ht="15.75" customHeight="1">
      <c r="A98" s="13" t="s">
        <v>1140</v>
      </c>
      <c r="B98" s="43">
        <v>2.0</v>
      </c>
      <c r="C98" s="43">
        <v>25394.0</v>
      </c>
      <c r="D98" s="43">
        <v>16.0</v>
      </c>
      <c r="E98" s="43">
        <v>15.0</v>
      </c>
      <c r="F98" s="43">
        <v>93.8</v>
      </c>
      <c r="G98" s="43">
        <v>1.0</v>
      </c>
      <c r="H98" s="43">
        <v>2.0</v>
      </c>
      <c r="I98" s="43">
        <v>0.0</v>
      </c>
      <c r="J98" s="43">
        <v>14.0</v>
      </c>
      <c r="K98" s="43">
        <v>25394.0</v>
      </c>
      <c r="L98" s="43">
        <v>88.2</v>
      </c>
      <c r="M98" s="43">
        <v>75.7</v>
      </c>
      <c r="N98" s="43">
        <v>91.0</v>
      </c>
      <c r="O98" s="43">
        <v>14.4</v>
      </c>
      <c r="P98" s="43">
        <v>16.2</v>
      </c>
      <c r="Q98" s="43">
        <v>14.6</v>
      </c>
      <c r="R98" s="13" t="s">
        <v>1808</v>
      </c>
      <c r="S98" s="13" t="s">
        <v>1808</v>
      </c>
      <c r="T98" s="13" t="s">
        <v>1811</v>
      </c>
      <c r="U98" s="13" t="s">
        <v>1811</v>
      </c>
    </row>
    <row r="99" ht="15.75" customHeight="1">
      <c r="A99" s="13" t="s">
        <v>1171</v>
      </c>
      <c r="B99" s="43">
        <v>2.0</v>
      </c>
      <c r="C99" s="43">
        <v>24988.0</v>
      </c>
      <c r="D99" s="43">
        <v>21.0</v>
      </c>
      <c r="E99" s="43">
        <v>5.0</v>
      </c>
      <c r="F99" s="43">
        <v>23.8</v>
      </c>
      <c r="G99" s="43">
        <v>1.0</v>
      </c>
      <c r="H99" s="43">
        <v>0.0</v>
      </c>
      <c r="I99" s="43">
        <v>0.0</v>
      </c>
      <c r="J99" s="43">
        <v>21.0</v>
      </c>
      <c r="K99" s="43">
        <v>24988.0</v>
      </c>
      <c r="L99" s="43">
        <v>58.9</v>
      </c>
      <c r="M99" s="43">
        <v>78.7</v>
      </c>
      <c r="N99" s="43">
        <v>142.5</v>
      </c>
      <c r="O99" s="43">
        <v>22.5</v>
      </c>
      <c r="P99" s="43">
        <v>0.4</v>
      </c>
      <c r="Q99" s="43">
        <v>0.4</v>
      </c>
      <c r="R99" s="13" t="s">
        <v>1808</v>
      </c>
      <c r="S99" s="13" t="s">
        <v>1811</v>
      </c>
      <c r="T99" s="13" t="s">
        <v>1811</v>
      </c>
      <c r="U99" s="13" t="s">
        <v>1811</v>
      </c>
    </row>
    <row r="100" ht="15.75" customHeight="1">
      <c r="A100" s="13" t="s">
        <v>1196</v>
      </c>
      <c r="B100" s="43">
        <v>2.0</v>
      </c>
      <c r="C100" s="43">
        <v>24886.0</v>
      </c>
      <c r="D100" s="43">
        <v>24.0</v>
      </c>
      <c r="E100" s="43">
        <v>12.0</v>
      </c>
      <c r="F100" s="43">
        <v>50.0</v>
      </c>
      <c r="G100" s="43">
        <v>1.0</v>
      </c>
      <c r="H100" s="43">
        <v>1.0</v>
      </c>
      <c r="I100" s="43">
        <v>0.0</v>
      </c>
      <c r="J100" s="43">
        <v>23.0</v>
      </c>
      <c r="K100" s="43">
        <v>24886.0</v>
      </c>
      <c r="L100" s="43">
        <v>98.5</v>
      </c>
      <c r="M100" s="43">
        <v>30.5</v>
      </c>
      <c r="N100" s="43">
        <v>94.0</v>
      </c>
      <c r="O100" s="43">
        <v>14.9</v>
      </c>
      <c r="P100" s="43">
        <v>9.8</v>
      </c>
      <c r="Q100" s="43">
        <v>10.7</v>
      </c>
      <c r="R100" s="13" t="s">
        <v>1811</v>
      </c>
      <c r="S100" s="13" t="s">
        <v>1808</v>
      </c>
      <c r="T100" s="13" t="s">
        <v>1811</v>
      </c>
      <c r="U100" s="13" t="s">
        <v>1811</v>
      </c>
    </row>
    <row r="101" ht="15.75" customHeight="1">
      <c r="A101" s="13" t="s">
        <v>1202</v>
      </c>
      <c r="B101" s="43">
        <v>2.0</v>
      </c>
      <c r="C101" s="43">
        <v>24381.0</v>
      </c>
      <c r="D101" s="43">
        <v>26.0</v>
      </c>
      <c r="E101" s="43">
        <v>6.0</v>
      </c>
      <c r="F101" s="43">
        <v>23.1</v>
      </c>
      <c r="G101" s="43">
        <v>1.0</v>
      </c>
      <c r="H101" s="43">
        <v>5.0</v>
      </c>
      <c r="I101" s="43">
        <v>0.0</v>
      </c>
      <c r="J101" s="43">
        <v>21.0</v>
      </c>
      <c r="K101" s="43">
        <v>24381.0</v>
      </c>
      <c r="L101" s="43">
        <v>86.9</v>
      </c>
      <c r="M101" s="43">
        <v>43.2</v>
      </c>
      <c r="N101" s="43">
        <v>96.9</v>
      </c>
      <c r="O101" s="43">
        <v>15.3</v>
      </c>
      <c r="P101" s="43">
        <v>0.2</v>
      </c>
      <c r="Q101" s="43">
        <v>10.8</v>
      </c>
      <c r="R101" s="13" t="s">
        <v>1808</v>
      </c>
      <c r="S101" s="13" t="s">
        <v>1808</v>
      </c>
      <c r="T101" s="13" t="s">
        <v>1811</v>
      </c>
      <c r="U101" s="13" t="s">
        <v>1811</v>
      </c>
    </row>
    <row r="102" ht="15.75" customHeight="1">
      <c r="A102" s="13" t="s">
        <v>1244</v>
      </c>
      <c r="B102" s="43">
        <v>1.0</v>
      </c>
      <c r="C102" s="43">
        <v>23283.0</v>
      </c>
      <c r="D102" s="43">
        <v>33.0</v>
      </c>
      <c r="E102" s="43">
        <v>1.0</v>
      </c>
      <c r="F102" s="43">
        <v>3.0</v>
      </c>
      <c r="G102" s="43">
        <v>1.0</v>
      </c>
      <c r="H102" s="43">
        <v>3.0</v>
      </c>
      <c r="I102" s="43">
        <v>0.0</v>
      </c>
      <c r="J102" s="43">
        <v>30.0</v>
      </c>
      <c r="K102" s="43">
        <v>23283.0</v>
      </c>
      <c r="L102" s="43">
        <v>57.2</v>
      </c>
      <c r="M102" s="43">
        <v>97.5</v>
      </c>
      <c r="N102" s="43">
        <v>119.8</v>
      </c>
      <c r="O102" s="43">
        <v>19.0</v>
      </c>
      <c r="P102" s="43">
        <v>0.0</v>
      </c>
      <c r="Q102" s="43">
        <v>32.4</v>
      </c>
      <c r="R102" s="13" t="s">
        <v>1808</v>
      </c>
      <c r="S102" s="13" t="s">
        <v>1808</v>
      </c>
      <c r="T102" s="13" t="s">
        <v>1808</v>
      </c>
      <c r="U102" s="13" t="s">
        <v>1808</v>
      </c>
    </row>
    <row r="103" ht="15.75" customHeight="1">
      <c r="A103" s="13" t="s">
        <v>1266</v>
      </c>
      <c r="B103" s="43">
        <v>2.0</v>
      </c>
      <c r="C103" s="43">
        <v>23228.0</v>
      </c>
      <c r="D103" s="43">
        <v>15.0</v>
      </c>
      <c r="E103" s="43">
        <v>12.0</v>
      </c>
      <c r="F103" s="43">
        <v>80.0</v>
      </c>
      <c r="G103" s="43">
        <v>1.0</v>
      </c>
      <c r="H103" s="43">
        <v>3.0</v>
      </c>
      <c r="I103" s="43">
        <v>0.0</v>
      </c>
      <c r="J103" s="43">
        <v>12.0</v>
      </c>
      <c r="K103" s="43">
        <v>23228.0</v>
      </c>
      <c r="L103" s="43">
        <v>66.3</v>
      </c>
      <c r="M103" s="43">
        <v>77.5</v>
      </c>
      <c r="N103" s="43">
        <v>311.2</v>
      </c>
      <c r="O103" s="43">
        <v>49.3</v>
      </c>
      <c r="P103" s="43">
        <v>2.9</v>
      </c>
      <c r="Q103" s="43">
        <v>0.2</v>
      </c>
      <c r="R103" s="13" t="s">
        <v>1808</v>
      </c>
      <c r="S103" s="13" t="s">
        <v>1808</v>
      </c>
      <c r="T103" s="13" t="s">
        <v>1811</v>
      </c>
      <c r="U103" s="13" t="s">
        <v>1811</v>
      </c>
    </row>
    <row r="104" ht="15.75" customHeight="1">
      <c r="A104" s="13" t="s">
        <v>1303</v>
      </c>
      <c r="B104" s="43">
        <v>1.0</v>
      </c>
      <c r="C104" s="43">
        <v>23159.0</v>
      </c>
      <c r="D104" s="43">
        <v>26.0</v>
      </c>
      <c r="E104" s="43">
        <v>0.0</v>
      </c>
      <c r="F104" s="43">
        <v>0.0</v>
      </c>
      <c r="G104" s="43">
        <v>1.0</v>
      </c>
      <c r="H104" s="43">
        <v>1.0</v>
      </c>
      <c r="I104" s="43">
        <v>0.0</v>
      </c>
      <c r="J104" s="43">
        <v>25.0</v>
      </c>
      <c r="K104" s="43">
        <v>23159.0</v>
      </c>
      <c r="L104" s="43">
        <v>80.8</v>
      </c>
      <c r="M104" s="43">
        <v>87.2</v>
      </c>
      <c r="N104" s="43">
        <v>120.3</v>
      </c>
      <c r="O104" s="43">
        <v>19.0</v>
      </c>
      <c r="P104" s="43">
        <v>0.6</v>
      </c>
      <c r="Q104" s="43">
        <v>2.2</v>
      </c>
      <c r="R104" s="13" t="s">
        <v>1808</v>
      </c>
      <c r="S104" s="13" t="s">
        <v>1811</v>
      </c>
      <c r="T104" s="13" t="s">
        <v>1811</v>
      </c>
      <c r="U104" s="13" t="s">
        <v>1808</v>
      </c>
    </row>
    <row r="105" ht="15.75" customHeight="1">
      <c r="A105" s="13" t="s">
        <v>1346</v>
      </c>
      <c r="B105" s="43">
        <v>1.0</v>
      </c>
      <c r="C105" s="43">
        <v>21630.0</v>
      </c>
      <c r="D105" s="43">
        <v>20.0</v>
      </c>
      <c r="E105" s="43">
        <v>9.0</v>
      </c>
      <c r="F105" s="43">
        <v>45.0</v>
      </c>
      <c r="G105" s="43">
        <v>1.0</v>
      </c>
      <c r="H105" s="43">
        <v>2.0</v>
      </c>
      <c r="I105" s="43">
        <v>0.0</v>
      </c>
      <c r="J105" s="43">
        <v>18.0</v>
      </c>
      <c r="K105" s="43">
        <v>21630.0</v>
      </c>
      <c r="L105" s="43">
        <v>81.5</v>
      </c>
      <c r="M105" s="43">
        <v>85.8</v>
      </c>
      <c r="N105" s="43">
        <v>74.4</v>
      </c>
      <c r="O105" s="43">
        <v>11.8</v>
      </c>
      <c r="P105" s="43">
        <v>3.2</v>
      </c>
      <c r="Q105" s="43">
        <v>2.3</v>
      </c>
      <c r="R105" s="13" t="s">
        <v>1811</v>
      </c>
      <c r="S105" s="13" t="s">
        <v>1811</v>
      </c>
      <c r="T105" s="13" t="s">
        <v>1811</v>
      </c>
      <c r="U105" s="13" t="s">
        <v>1808</v>
      </c>
    </row>
    <row r="106" ht="15.75" customHeight="1">
      <c r="A106" s="13" t="s">
        <v>1386</v>
      </c>
      <c r="B106" s="43">
        <v>2.0</v>
      </c>
      <c r="C106" s="43">
        <v>21469.0</v>
      </c>
      <c r="D106" s="43">
        <v>22.0</v>
      </c>
      <c r="E106" s="43">
        <v>5.0</v>
      </c>
      <c r="F106" s="43">
        <v>22.7</v>
      </c>
      <c r="G106" s="43">
        <v>1.0</v>
      </c>
      <c r="H106" s="43">
        <v>0.0</v>
      </c>
      <c r="I106" s="43">
        <v>0.0</v>
      </c>
      <c r="J106" s="43">
        <v>22.0</v>
      </c>
      <c r="K106" s="43">
        <v>21469.0</v>
      </c>
      <c r="L106" s="43">
        <v>89.8</v>
      </c>
      <c r="M106" s="43">
        <v>94.4</v>
      </c>
      <c r="N106" s="43">
        <v>134.1</v>
      </c>
      <c r="O106" s="43">
        <v>21.2</v>
      </c>
      <c r="P106" s="43">
        <v>3.7</v>
      </c>
      <c r="Q106" s="43">
        <v>0.0</v>
      </c>
      <c r="R106" s="13" t="s">
        <v>1808</v>
      </c>
      <c r="S106" s="13" t="s">
        <v>1808</v>
      </c>
      <c r="T106" s="13" t="s">
        <v>1811</v>
      </c>
      <c r="U106" s="13" t="s">
        <v>1811</v>
      </c>
    </row>
    <row r="107" ht="15.75" customHeight="1">
      <c r="A107" s="13" t="s">
        <v>1443</v>
      </c>
      <c r="B107" s="43">
        <v>2.0</v>
      </c>
      <c r="C107" s="43">
        <v>19296.0</v>
      </c>
      <c r="D107" s="43">
        <v>19.0</v>
      </c>
      <c r="E107" s="43">
        <v>11.0</v>
      </c>
      <c r="F107" s="43">
        <v>57.9</v>
      </c>
      <c r="G107" s="43">
        <v>1.0</v>
      </c>
      <c r="H107" s="43">
        <v>3.0</v>
      </c>
      <c r="I107" s="43">
        <v>0.0</v>
      </c>
      <c r="J107" s="43">
        <v>16.0</v>
      </c>
      <c r="K107" s="43">
        <v>19296.0</v>
      </c>
      <c r="L107" s="43">
        <v>107.3</v>
      </c>
      <c r="M107" s="43">
        <v>75.2</v>
      </c>
      <c r="N107" s="43">
        <v>428.1</v>
      </c>
      <c r="O107" s="43">
        <v>67.7</v>
      </c>
      <c r="P107" s="43">
        <v>9.4</v>
      </c>
      <c r="Q107" s="43">
        <v>4.0</v>
      </c>
      <c r="R107" s="13" t="s">
        <v>1811</v>
      </c>
      <c r="S107" s="13" t="s">
        <v>1811</v>
      </c>
      <c r="T107" s="13" t="s">
        <v>1811</v>
      </c>
      <c r="U107" s="13" t="s">
        <v>1811</v>
      </c>
    </row>
    <row r="108" ht="15.75" customHeight="1">
      <c r="A108" s="13" t="s">
        <v>1478</v>
      </c>
      <c r="B108" s="43">
        <v>2.0</v>
      </c>
      <c r="C108" s="43">
        <v>18020.0</v>
      </c>
      <c r="D108" s="43">
        <v>23.0</v>
      </c>
      <c r="E108" s="43">
        <v>7.0</v>
      </c>
      <c r="F108" s="43">
        <v>30.4</v>
      </c>
      <c r="G108" s="43">
        <v>1.0</v>
      </c>
      <c r="H108" s="43">
        <v>0.0</v>
      </c>
      <c r="I108" s="43">
        <v>0.0</v>
      </c>
      <c r="J108" s="43">
        <v>23.0</v>
      </c>
      <c r="K108" s="43">
        <v>18020.0</v>
      </c>
      <c r="L108" s="43">
        <v>84.1</v>
      </c>
      <c r="M108" s="43">
        <v>28.6</v>
      </c>
      <c r="N108" s="43">
        <v>95.6</v>
      </c>
      <c r="O108" s="43">
        <v>15.1</v>
      </c>
      <c r="P108" s="43">
        <v>1.3</v>
      </c>
      <c r="Q108" s="43">
        <v>0.0</v>
      </c>
      <c r="R108" s="13" t="s">
        <v>1808</v>
      </c>
      <c r="S108" s="13" t="s">
        <v>1811</v>
      </c>
      <c r="T108" s="13" t="s">
        <v>1811</v>
      </c>
      <c r="U108" s="13" t="s">
        <v>1811</v>
      </c>
    </row>
    <row r="109" ht="15.75" customHeight="1">
      <c r="A109" s="13" t="s">
        <v>1560</v>
      </c>
      <c r="B109" s="43">
        <v>2.0</v>
      </c>
      <c r="C109" s="43">
        <v>17585.0</v>
      </c>
      <c r="D109" s="43">
        <v>17.0</v>
      </c>
      <c r="E109" s="43">
        <v>14.0</v>
      </c>
      <c r="F109" s="43">
        <v>82.4</v>
      </c>
      <c r="G109" s="43">
        <v>1.0</v>
      </c>
      <c r="H109" s="43">
        <v>2.0</v>
      </c>
      <c r="I109" s="43">
        <v>0.0</v>
      </c>
      <c r="J109" s="43">
        <v>15.0</v>
      </c>
      <c r="K109" s="43">
        <v>17585.0</v>
      </c>
      <c r="L109" s="43">
        <v>100.0</v>
      </c>
      <c r="M109" s="43">
        <v>88.9</v>
      </c>
      <c r="N109" s="43">
        <v>338.5</v>
      </c>
      <c r="O109" s="43">
        <v>53.6</v>
      </c>
      <c r="P109" s="43">
        <v>6.2</v>
      </c>
      <c r="Q109" s="43">
        <v>8.1</v>
      </c>
      <c r="R109" s="13" t="s">
        <v>1808</v>
      </c>
      <c r="S109" s="13" t="s">
        <v>1808</v>
      </c>
      <c r="T109" s="13" t="s">
        <v>1808</v>
      </c>
      <c r="U109" s="13" t="s">
        <v>1811</v>
      </c>
    </row>
    <row r="110" ht="15.75" customHeight="1">
      <c r="A110" s="13" t="s">
        <v>1617</v>
      </c>
      <c r="B110" s="43">
        <v>2.0</v>
      </c>
      <c r="C110" s="43">
        <v>17567.0</v>
      </c>
      <c r="D110" s="43">
        <v>21.0</v>
      </c>
      <c r="E110" s="43">
        <v>12.0</v>
      </c>
      <c r="F110" s="43">
        <v>57.1</v>
      </c>
      <c r="G110" s="43">
        <v>1.0</v>
      </c>
      <c r="H110" s="43">
        <v>0.0</v>
      </c>
      <c r="I110" s="43">
        <v>0.0</v>
      </c>
      <c r="J110" s="43">
        <v>21.0</v>
      </c>
      <c r="K110" s="43">
        <v>17567.0</v>
      </c>
      <c r="L110" s="43">
        <v>89.0</v>
      </c>
      <c r="M110" s="43">
        <v>100.0</v>
      </c>
      <c r="N110" s="43">
        <v>77.4</v>
      </c>
      <c r="O110" s="43">
        <v>12.3</v>
      </c>
      <c r="P110" s="43">
        <v>34.7</v>
      </c>
      <c r="Q110" s="43">
        <v>7.0</v>
      </c>
      <c r="R110" s="13" t="s">
        <v>1808</v>
      </c>
      <c r="S110" s="13" t="s">
        <v>1811</v>
      </c>
      <c r="T110" s="13" t="s">
        <v>1811</v>
      </c>
      <c r="U110" s="13" t="s">
        <v>1811</v>
      </c>
    </row>
    <row r="111" ht="15.75" customHeight="1">
      <c r="A111" s="13" t="s">
        <v>1647</v>
      </c>
      <c r="B111" s="43">
        <v>2.0</v>
      </c>
      <c r="C111" s="43">
        <v>15659.0</v>
      </c>
      <c r="D111" s="43">
        <v>18.0</v>
      </c>
      <c r="E111" s="43">
        <v>18.0</v>
      </c>
      <c r="F111" s="43">
        <v>100.0</v>
      </c>
      <c r="G111" s="43">
        <v>1.0</v>
      </c>
      <c r="H111" s="43">
        <v>0.0</v>
      </c>
      <c r="I111" s="43">
        <v>0.0</v>
      </c>
      <c r="J111" s="43">
        <v>18.0</v>
      </c>
      <c r="K111" s="43">
        <v>15659.0</v>
      </c>
      <c r="L111" s="43">
        <v>113.9</v>
      </c>
      <c r="M111" s="43">
        <v>0.0</v>
      </c>
      <c r="N111" s="43">
        <v>66.8</v>
      </c>
      <c r="O111" s="43">
        <v>10.6</v>
      </c>
      <c r="P111" s="43">
        <v>8.3</v>
      </c>
      <c r="Q111" s="43">
        <v>0.4</v>
      </c>
      <c r="R111" s="13" t="s">
        <v>1808</v>
      </c>
      <c r="S111" s="13" t="s">
        <v>1811</v>
      </c>
      <c r="T111" s="13" t="s">
        <v>1811</v>
      </c>
      <c r="U111" s="13" t="s">
        <v>1811</v>
      </c>
    </row>
    <row r="112" ht="15.75" customHeight="1">
      <c r="A112" s="13" t="s">
        <v>1695</v>
      </c>
      <c r="B112" s="43">
        <v>1.0</v>
      </c>
      <c r="C112" s="43">
        <v>14837.0</v>
      </c>
      <c r="D112" s="43">
        <v>17.0</v>
      </c>
      <c r="E112" s="43">
        <v>9.0</v>
      </c>
      <c r="F112" s="43">
        <v>52.9</v>
      </c>
      <c r="G112" s="43">
        <v>1.0</v>
      </c>
      <c r="H112" s="43">
        <v>1.0</v>
      </c>
      <c r="I112" s="43">
        <v>0.0</v>
      </c>
      <c r="J112" s="43">
        <v>16.0</v>
      </c>
      <c r="K112" s="43">
        <v>14837.0</v>
      </c>
      <c r="L112" s="43">
        <v>56.2</v>
      </c>
      <c r="M112" s="43">
        <v>96.7</v>
      </c>
      <c r="N112" s="43">
        <v>42.2</v>
      </c>
      <c r="O112" s="43">
        <v>6.7</v>
      </c>
      <c r="P112" s="43">
        <v>9.9</v>
      </c>
      <c r="Q112" s="43">
        <v>1.3</v>
      </c>
      <c r="R112" s="13" t="s">
        <v>1811</v>
      </c>
      <c r="S112" s="13" t="s">
        <v>1811</v>
      </c>
      <c r="T112" s="13" t="s">
        <v>1811</v>
      </c>
      <c r="U112" s="13" t="s">
        <v>1808</v>
      </c>
    </row>
    <row r="113" ht="15.75" customHeight="1">
      <c r="A113" s="13" t="s">
        <v>1747</v>
      </c>
      <c r="B113" s="43">
        <v>2.0</v>
      </c>
      <c r="C113" s="43">
        <v>12984.0</v>
      </c>
      <c r="D113" s="43">
        <v>7.0</v>
      </c>
      <c r="E113" s="43">
        <v>5.0</v>
      </c>
      <c r="F113" s="43">
        <v>71.4</v>
      </c>
      <c r="G113" s="43">
        <v>1.0</v>
      </c>
      <c r="H113" s="43">
        <v>0.0</v>
      </c>
      <c r="I113" s="43">
        <v>0.0</v>
      </c>
      <c r="J113" s="43">
        <v>7.0</v>
      </c>
      <c r="K113" s="43">
        <v>12984.0</v>
      </c>
      <c r="L113" s="43">
        <v>61.1</v>
      </c>
      <c r="M113" s="43">
        <v>52.7</v>
      </c>
      <c r="N113" s="43">
        <v>46.6</v>
      </c>
      <c r="O113" s="43">
        <v>7.4</v>
      </c>
      <c r="P113" s="43">
        <v>11.5</v>
      </c>
      <c r="Q113" s="43">
        <v>14.2</v>
      </c>
      <c r="R113" s="13" t="s">
        <v>1811</v>
      </c>
      <c r="S113" s="13" t="s">
        <v>1808</v>
      </c>
      <c r="T113" s="13" t="s">
        <v>1811</v>
      </c>
      <c r="U113" s="13" t="s">
        <v>1811</v>
      </c>
    </row>
    <row r="114" ht="15.75" customHeight="1">
      <c r="A114" s="13" t="s">
        <v>1781</v>
      </c>
      <c r="B114" s="43">
        <v>1.0</v>
      </c>
      <c r="C114" s="43">
        <v>12843.0</v>
      </c>
      <c r="D114" s="43">
        <v>19.0</v>
      </c>
      <c r="E114" s="43">
        <v>17.0</v>
      </c>
      <c r="F114" s="43">
        <v>89.5</v>
      </c>
      <c r="G114" s="43">
        <v>1.0</v>
      </c>
      <c r="H114" s="43">
        <v>0.0</v>
      </c>
      <c r="I114" s="43">
        <v>0.0</v>
      </c>
      <c r="J114" s="43">
        <v>19.0</v>
      </c>
      <c r="K114" s="43">
        <v>12843.0</v>
      </c>
      <c r="L114" s="43">
        <v>88.1</v>
      </c>
      <c r="M114" s="43">
        <v>86.1</v>
      </c>
      <c r="N114" s="43">
        <v>31.4</v>
      </c>
      <c r="O114" s="43">
        <v>4.9</v>
      </c>
      <c r="P114" s="43">
        <v>2.6</v>
      </c>
      <c r="Q114" s="43">
        <v>5.8</v>
      </c>
      <c r="R114" s="13" t="s">
        <v>1811</v>
      </c>
      <c r="S114" s="13" t="s">
        <v>1811</v>
      </c>
      <c r="T114" s="13" t="s">
        <v>1811</v>
      </c>
      <c r="U114" s="13" t="s">
        <v>1808</v>
      </c>
    </row>
    <row r="115" ht="15.75" customHeight="1">
      <c r="A115" s="13" t="s">
        <v>1814</v>
      </c>
      <c r="B115" s="43">
        <v>2.0</v>
      </c>
      <c r="C115" s="43">
        <v>8768.0</v>
      </c>
      <c r="D115" s="43">
        <v>9.0</v>
      </c>
      <c r="E115" s="43">
        <v>2.0</v>
      </c>
      <c r="F115" s="43">
        <v>22.2</v>
      </c>
      <c r="G115" s="43">
        <v>1.0</v>
      </c>
      <c r="H115" s="43">
        <v>0.0</v>
      </c>
      <c r="I115" s="43">
        <v>0.0</v>
      </c>
      <c r="J115" s="43">
        <v>9.0</v>
      </c>
      <c r="K115" s="43">
        <v>8768.0</v>
      </c>
      <c r="L115" s="43">
        <v>70.2</v>
      </c>
      <c r="M115" s="43">
        <v>46.6</v>
      </c>
      <c r="N115" s="43">
        <v>24.2</v>
      </c>
      <c r="O115" s="43">
        <v>3.8</v>
      </c>
      <c r="P115" s="43">
        <v>0.1</v>
      </c>
      <c r="Q115" s="43">
        <v>6.2</v>
      </c>
      <c r="R115" s="13" t="s">
        <v>1811</v>
      </c>
      <c r="S115" s="13" t="s">
        <v>1811</v>
      </c>
      <c r="T115" s="13" t="s">
        <v>1811</v>
      </c>
      <c r="U115" s="13" t="s">
        <v>1811</v>
      </c>
    </row>
    <row r="116" ht="15.75" customHeight="1">
      <c r="A116" s="13" t="s">
        <v>1829</v>
      </c>
      <c r="B116" s="13" t="s">
        <v>344</v>
      </c>
      <c r="C116" s="43">
        <v>1368137.0</v>
      </c>
      <c r="D116" s="43">
        <v>1159.0</v>
      </c>
      <c r="E116" s="43">
        <v>305.0</v>
      </c>
      <c r="F116" s="43">
        <v>26.2</v>
      </c>
      <c r="G116" s="43">
        <v>44.0</v>
      </c>
      <c r="H116" s="43">
        <v>140.0</v>
      </c>
      <c r="I116" s="43">
        <v>11.0</v>
      </c>
      <c r="J116" s="43">
        <v>1024.0</v>
      </c>
      <c r="K116" s="43">
        <v>31094.0</v>
      </c>
      <c r="L116" s="43">
        <v>80.4</v>
      </c>
      <c r="M116" s="43">
        <v>82.1</v>
      </c>
      <c r="N116" s="43">
        <v>162.9</v>
      </c>
      <c r="O116" s="43">
        <v>25.7</v>
      </c>
      <c r="P116" s="43">
        <v>4.3</v>
      </c>
      <c r="Q116" s="43">
        <v>5.3</v>
      </c>
      <c r="R116" s="13" t="s">
        <v>3817</v>
      </c>
      <c r="S116" s="13" t="s">
        <v>3818</v>
      </c>
      <c r="T116" s="13" t="s">
        <v>3819</v>
      </c>
      <c r="U116" s="13" t="s">
        <v>3820</v>
      </c>
    </row>
    <row r="117" ht="15.75" customHeight="1">
      <c r="A117" s="42" t="s">
        <v>610</v>
      </c>
    </row>
    <row r="118" ht="15.75" customHeight="1"/>
    <row r="119" ht="15.75" customHeight="1"/>
    <row r="120" ht="15.75" customHeight="1">
      <c r="A120" s="25" t="s">
        <v>3821</v>
      </c>
      <c r="B120" s="26"/>
      <c r="C120" s="26"/>
      <c r="D120" s="26"/>
      <c r="E120" s="26"/>
      <c r="F120" s="26"/>
    </row>
    <row r="121" ht="15.75" customHeight="1">
      <c r="A121" s="27" t="s">
        <v>3822</v>
      </c>
      <c r="B121" s="26"/>
      <c r="C121" s="26"/>
      <c r="D121" s="26"/>
      <c r="E121" s="26"/>
      <c r="F121" s="26"/>
    </row>
    <row r="122" ht="15.75" customHeight="1">
      <c r="A122" s="41" t="s">
        <v>1099</v>
      </c>
      <c r="B122" s="41" t="s">
        <v>3823</v>
      </c>
      <c r="C122" s="41" t="s">
        <v>3824</v>
      </c>
      <c r="D122" s="41" t="s">
        <v>3825</v>
      </c>
      <c r="E122" s="41" t="s">
        <v>3826</v>
      </c>
      <c r="F122" s="41" t="s">
        <v>3827</v>
      </c>
    </row>
    <row r="123" ht="15.75" customHeight="1">
      <c r="A123" s="13" t="s">
        <v>3828</v>
      </c>
      <c r="B123" s="43">
        <v>12124.0</v>
      </c>
      <c r="C123" s="43">
        <v>8050.0</v>
      </c>
      <c r="D123" s="43">
        <v>66.4</v>
      </c>
      <c r="E123" s="13" t="s">
        <v>3829</v>
      </c>
      <c r="F123" s="13" t="s">
        <v>3830</v>
      </c>
    </row>
    <row r="124" ht="15.75" customHeight="1">
      <c r="A124" s="13" t="s">
        <v>963</v>
      </c>
      <c r="B124" s="43">
        <v>30118.0</v>
      </c>
      <c r="C124" s="43">
        <v>14560.0</v>
      </c>
      <c r="D124" s="43">
        <v>48.3</v>
      </c>
      <c r="E124" s="13" t="s">
        <v>3831</v>
      </c>
      <c r="F124" s="13" t="s">
        <v>3830</v>
      </c>
    </row>
    <row r="125" ht="15.75" customHeight="1">
      <c r="A125" s="13" t="s">
        <v>1781</v>
      </c>
      <c r="B125" s="43">
        <v>12602.0</v>
      </c>
      <c r="C125" s="43">
        <v>5642.0</v>
      </c>
      <c r="D125" s="43">
        <v>44.8</v>
      </c>
      <c r="E125" s="13" t="s">
        <v>3829</v>
      </c>
      <c r="F125" s="13" t="s">
        <v>3830</v>
      </c>
    </row>
    <row r="126" ht="15.75" customHeight="1">
      <c r="A126" s="13" t="s">
        <v>1140</v>
      </c>
      <c r="B126" s="43">
        <v>22768.0</v>
      </c>
      <c r="C126" s="43">
        <v>9480.0</v>
      </c>
      <c r="D126" s="43">
        <v>41.6</v>
      </c>
      <c r="E126" s="13" t="s">
        <v>3832</v>
      </c>
      <c r="F126" s="13" t="s">
        <v>3830</v>
      </c>
    </row>
    <row r="127" ht="15.75" customHeight="1">
      <c r="A127" s="13" t="s">
        <v>1443</v>
      </c>
      <c r="B127" s="43">
        <v>18907.0</v>
      </c>
      <c r="C127" s="43">
        <v>5413.0</v>
      </c>
      <c r="D127" s="43">
        <v>28.6</v>
      </c>
      <c r="E127" s="13" t="s">
        <v>3831</v>
      </c>
      <c r="F127" s="13" t="s">
        <v>3830</v>
      </c>
    </row>
    <row r="128" ht="15.75" customHeight="1">
      <c r="A128" s="13" t="s">
        <v>1047</v>
      </c>
      <c r="B128" s="43">
        <v>26478.0</v>
      </c>
      <c r="C128" s="43">
        <v>7087.0</v>
      </c>
      <c r="D128" s="43">
        <v>26.8</v>
      </c>
      <c r="E128" s="13" t="s">
        <v>3831</v>
      </c>
      <c r="F128" s="13" t="s">
        <v>3830</v>
      </c>
    </row>
    <row r="129" ht="15.75" customHeight="1">
      <c r="A129" s="13" t="s">
        <v>797</v>
      </c>
      <c r="B129" s="43">
        <v>30132.0</v>
      </c>
      <c r="C129" s="43">
        <v>7087.0</v>
      </c>
      <c r="D129" s="43">
        <v>23.5</v>
      </c>
      <c r="E129" s="13" t="s">
        <v>3829</v>
      </c>
      <c r="F129" s="13" t="s">
        <v>3830</v>
      </c>
    </row>
    <row r="130" ht="15.75" customHeight="1">
      <c r="A130" s="13" t="s">
        <v>1346</v>
      </c>
      <c r="B130" s="43">
        <v>20581.0</v>
      </c>
      <c r="C130" s="43">
        <v>4262.0</v>
      </c>
      <c r="D130" s="43">
        <v>20.7</v>
      </c>
      <c r="E130" s="13" t="s">
        <v>3829</v>
      </c>
      <c r="F130" s="13" t="s">
        <v>3830</v>
      </c>
    </row>
    <row r="131" ht="15.75" customHeight="1">
      <c r="A131" s="13" t="s">
        <v>1560</v>
      </c>
      <c r="B131" s="43">
        <v>14985.0</v>
      </c>
      <c r="C131" s="43">
        <v>3073.0</v>
      </c>
      <c r="D131" s="43">
        <v>20.5</v>
      </c>
      <c r="E131" s="13" t="s">
        <v>3832</v>
      </c>
      <c r="F131" s="13" t="s">
        <v>3830</v>
      </c>
    </row>
    <row r="132" ht="15.75" customHeight="1">
      <c r="A132" s="13" t="s">
        <v>1202</v>
      </c>
      <c r="B132" s="43">
        <v>23129.0</v>
      </c>
      <c r="C132" s="43">
        <v>4522.0</v>
      </c>
      <c r="D132" s="43">
        <v>19.6</v>
      </c>
      <c r="E132" s="13" t="s">
        <v>3831</v>
      </c>
      <c r="F132" s="13" t="s">
        <v>3830</v>
      </c>
    </row>
    <row r="133" ht="15.75" customHeight="1">
      <c r="A133" s="13" t="s">
        <v>1647</v>
      </c>
      <c r="B133" s="43">
        <v>15057.0</v>
      </c>
      <c r="C133" s="43">
        <v>2829.0</v>
      </c>
      <c r="D133" s="43">
        <v>18.8</v>
      </c>
      <c r="E133" s="13" t="s">
        <v>3831</v>
      </c>
      <c r="F133" s="13" t="s">
        <v>3830</v>
      </c>
    </row>
    <row r="134" ht="15.75" customHeight="1">
      <c r="A134" s="13" t="s">
        <v>1019</v>
      </c>
      <c r="B134" s="43">
        <v>29863.0</v>
      </c>
      <c r="C134" s="43">
        <v>5307.0</v>
      </c>
      <c r="D134" s="43">
        <v>17.8</v>
      </c>
      <c r="E134" s="13" t="s">
        <v>3831</v>
      </c>
      <c r="F134" s="13" t="s">
        <v>3830</v>
      </c>
    </row>
    <row r="135" ht="15.75" customHeight="1">
      <c r="A135" s="13" t="s">
        <v>870</v>
      </c>
      <c r="B135" s="43">
        <v>30436.0</v>
      </c>
      <c r="C135" s="43">
        <v>4559.0</v>
      </c>
      <c r="D135" s="43">
        <v>15.0</v>
      </c>
      <c r="E135" s="13" t="s">
        <v>3831</v>
      </c>
      <c r="F135" s="13" t="s">
        <v>3830</v>
      </c>
    </row>
    <row r="136" ht="15.75" customHeight="1">
      <c r="A136" s="13" t="s">
        <v>1617</v>
      </c>
      <c r="B136" s="43">
        <v>16896.0</v>
      </c>
      <c r="C136" s="43">
        <v>2368.0</v>
      </c>
      <c r="D136" s="43">
        <v>14.0</v>
      </c>
      <c r="E136" s="13" t="s">
        <v>3831</v>
      </c>
      <c r="F136" s="13" t="s">
        <v>3830</v>
      </c>
    </row>
    <row r="137" ht="15.75" customHeight="1">
      <c r="A137" s="13" t="s">
        <v>1112</v>
      </c>
      <c r="B137" s="43">
        <v>24778.0</v>
      </c>
      <c r="C137" s="43">
        <v>3361.0</v>
      </c>
      <c r="D137" s="43">
        <v>13.6</v>
      </c>
      <c r="E137" s="13" t="s">
        <v>3831</v>
      </c>
      <c r="F137" s="13" t="s">
        <v>3830</v>
      </c>
    </row>
    <row r="138" ht="15.75" customHeight="1">
      <c r="A138" s="13" t="s">
        <v>934</v>
      </c>
      <c r="B138" s="43">
        <v>33580.0</v>
      </c>
      <c r="C138" s="43">
        <v>4043.0</v>
      </c>
      <c r="D138" s="43">
        <v>12.0</v>
      </c>
      <c r="E138" s="13" t="s">
        <v>3829</v>
      </c>
      <c r="F138" s="13" t="s">
        <v>3830</v>
      </c>
    </row>
    <row r="139" ht="15.75" customHeight="1">
      <c r="A139" s="13" t="s">
        <v>745</v>
      </c>
      <c r="B139" s="43">
        <v>45909.0</v>
      </c>
      <c r="C139" s="43">
        <v>4185.0</v>
      </c>
      <c r="D139" s="43">
        <v>9.1</v>
      </c>
      <c r="E139" s="13" t="s">
        <v>3829</v>
      </c>
      <c r="F139" s="13" t="s">
        <v>3833</v>
      </c>
    </row>
    <row r="140" ht="15.75" customHeight="1">
      <c r="A140" s="13" t="s">
        <v>694</v>
      </c>
      <c r="B140" s="43">
        <v>50366.0</v>
      </c>
      <c r="C140" s="43">
        <v>3857.0</v>
      </c>
      <c r="D140" s="43">
        <v>7.7</v>
      </c>
      <c r="E140" s="13" t="s">
        <v>3829</v>
      </c>
      <c r="F140" s="13" t="s">
        <v>3833</v>
      </c>
    </row>
    <row r="141" ht="15.75" customHeight="1">
      <c r="A141" s="13" t="s">
        <v>823</v>
      </c>
      <c r="B141" s="43">
        <v>32573.0</v>
      </c>
      <c r="C141" s="43">
        <v>2130.0</v>
      </c>
      <c r="D141" s="43">
        <v>6.5</v>
      </c>
      <c r="E141" s="13" t="s">
        <v>3831</v>
      </c>
      <c r="F141" s="13" t="s">
        <v>3834</v>
      </c>
    </row>
    <row r="142" ht="15.75" customHeight="1">
      <c r="A142" s="13" t="s">
        <v>1056</v>
      </c>
      <c r="B142" s="43">
        <v>26712.0</v>
      </c>
      <c r="C142" s="43">
        <v>1699.0</v>
      </c>
      <c r="D142" s="43">
        <v>6.4</v>
      </c>
      <c r="E142" s="13" t="s">
        <v>3829</v>
      </c>
      <c r="F142" s="13" t="s">
        <v>3833</v>
      </c>
    </row>
    <row r="143" ht="15.75" customHeight="1">
      <c r="A143" s="13" t="s">
        <v>946</v>
      </c>
      <c r="B143" s="43">
        <v>30802.0</v>
      </c>
      <c r="C143" s="43">
        <v>1763.0</v>
      </c>
      <c r="D143" s="43">
        <v>5.7</v>
      </c>
      <c r="E143" s="13" t="s">
        <v>3831</v>
      </c>
      <c r="F143" s="13" t="s">
        <v>3834</v>
      </c>
    </row>
    <row r="144" ht="15.75" customHeight="1">
      <c r="A144" s="13" t="s">
        <v>1266</v>
      </c>
      <c r="B144" s="43">
        <v>20498.0</v>
      </c>
      <c r="C144" s="43">
        <v>1075.0</v>
      </c>
      <c r="D144" s="43">
        <v>5.2</v>
      </c>
      <c r="E144" s="13" t="s">
        <v>3831</v>
      </c>
      <c r="F144" s="13" t="s">
        <v>3834</v>
      </c>
    </row>
    <row r="145" ht="15.75" customHeight="1">
      <c r="A145" s="13" t="s">
        <v>1478</v>
      </c>
      <c r="B145" s="43">
        <v>14526.0</v>
      </c>
      <c r="C145" s="43">
        <v>584.0</v>
      </c>
      <c r="D145" s="43">
        <v>4.0</v>
      </c>
      <c r="E145" s="13" t="s">
        <v>3831</v>
      </c>
      <c r="F145" s="13" t="s">
        <v>3834</v>
      </c>
    </row>
    <row r="146" ht="15.75" customHeight="1">
      <c r="A146" s="13" t="s">
        <v>648</v>
      </c>
      <c r="B146" s="43">
        <v>49088.0</v>
      </c>
      <c r="C146" s="43">
        <v>1808.0</v>
      </c>
      <c r="D146" s="43">
        <v>3.7</v>
      </c>
      <c r="E146" s="13" t="s">
        <v>3831</v>
      </c>
      <c r="F146" s="13" t="s">
        <v>3834</v>
      </c>
    </row>
    <row r="147" ht="15.75" customHeight="1">
      <c r="A147" s="13" t="s">
        <v>994</v>
      </c>
      <c r="B147" s="43">
        <v>31141.0</v>
      </c>
      <c r="C147" s="43">
        <v>911.0</v>
      </c>
      <c r="D147" s="43">
        <v>2.9</v>
      </c>
      <c r="E147" s="13" t="s">
        <v>3829</v>
      </c>
      <c r="F147" s="13" t="s">
        <v>3833</v>
      </c>
    </row>
    <row r="148" ht="15.75" customHeight="1">
      <c r="A148" s="13" t="s">
        <v>770</v>
      </c>
      <c r="B148" s="43">
        <v>37763.0</v>
      </c>
      <c r="C148" s="43">
        <v>998.0</v>
      </c>
      <c r="D148" s="43">
        <v>2.6</v>
      </c>
      <c r="E148" s="13" t="s">
        <v>3835</v>
      </c>
      <c r="F148" s="13" t="s">
        <v>3834</v>
      </c>
    </row>
    <row r="149" ht="15.75" customHeight="1">
      <c r="A149" s="13" t="s">
        <v>1080</v>
      </c>
      <c r="B149" s="43">
        <v>25965.0</v>
      </c>
      <c r="C149" s="43">
        <v>609.0</v>
      </c>
      <c r="D149" s="43">
        <v>2.3</v>
      </c>
      <c r="E149" s="13" t="s">
        <v>3831</v>
      </c>
      <c r="F149" s="13" t="s">
        <v>3834</v>
      </c>
    </row>
    <row r="150" ht="15.75" customHeight="1">
      <c r="A150" s="13" t="s">
        <v>527</v>
      </c>
      <c r="B150" s="43">
        <v>207010.0</v>
      </c>
      <c r="C150" s="43">
        <v>4273.0</v>
      </c>
      <c r="D150" s="43">
        <v>2.1</v>
      </c>
      <c r="E150" s="13" t="s">
        <v>3835</v>
      </c>
      <c r="F150" s="13" t="s">
        <v>3833</v>
      </c>
    </row>
    <row r="151" ht="15.75" customHeight="1">
      <c r="A151" s="13" t="s">
        <v>1072</v>
      </c>
      <c r="B151" s="43">
        <v>26514.0</v>
      </c>
      <c r="C151" s="43">
        <v>0.0</v>
      </c>
      <c r="D151" s="43">
        <v>0.0</v>
      </c>
      <c r="E151" s="13" t="s">
        <v>3835</v>
      </c>
      <c r="F151" s="13" t="s">
        <v>3833</v>
      </c>
    </row>
    <row r="152" ht="15.75" customHeight="1">
      <c r="A152" s="13" t="s">
        <v>1244</v>
      </c>
      <c r="B152" s="43">
        <v>18046.0</v>
      </c>
      <c r="C152" s="43">
        <v>0.0</v>
      </c>
      <c r="D152" s="43">
        <v>0.0</v>
      </c>
      <c r="E152" s="13" t="s">
        <v>3829</v>
      </c>
      <c r="F152" s="13" t="s">
        <v>3833</v>
      </c>
    </row>
    <row r="153" ht="15.75" customHeight="1">
      <c r="A153" s="13" t="s">
        <v>1303</v>
      </c>
      <c r="B153" s="43">
        <v>19932.0</v>
      </c>
      <c r="C153" s="43">
        <v>0.0</v>
      </c>
      <c r="D153" s="43">
        <v>0.0</v>
      </c>
      <c r="E153" s="13" t="s">
        <v>3829</v>
      </c>
      <c r="F153" s="13" t="s">
        <v>3833</v>
      </c>
    </row>
    <row r="154" ht="15.75" customHeight="1">
      <c r="A154" s="13" t="s">
        <v>1094</v>
      </c>
      <c r="B154" s="43">
        <v>24406.0</v>
      </c>
      <c r="C154" s="43">
        <v>0.0</v>
      </c>
      <c r="D154" s="43">
        <v>0.0</v>
      </c>
      <c r="E154" s="13" t="s">
        <v>3831</v>
      </c>
      <c r="F154" s="13" t="s">
        <v>3834</v>
      </c>
    </row>
    <row r="155" ht="15.75" customHeight="1">
      <c r="A155" s="13" t="s">
        <v>908</v>
      </c>
      <c r="B155" s="43">
        <v>32074.0</v>
      </c>
      <c r="C155" s="43">
        <v>0.0</v>
      </c>
      <c r="D155" s="43">
        <v>0.0</v>
      </c>
      <c r="E155" s="13" t="s">
        <v>3829</v>
      </c>
      <c r="F155" s="13" t="s">
        <v>3834</v>
      </c>
    </row>
    <row r="156" ht="15.75" customHeight="1">
      <c r="A156" s="13" t="s">
        <v>1036</v>
      </c>
      <c r="B156" s="43">
        <v>28023.0</v>
      </c>
      <c r="C156" s="43">
        <v>0.0</v>
      </c>
      <c r="D156" s="43">
        <v>0.0</v>
      </c>
      <c r="E156" s="13" t="s">
        <v>3831</v>
      </c>
      <c r="F156" s="13" t="s">
        <v>3834</v>
      </c>
    </row>
    <row r="157" ht="15.75" customHeight="1">
      <c r="A157" s="13" t="s">
        <v>1814</v>
      </c>
      <c r="B157" s="43">
        <v>8131.0</v>
      </c>
      <c r="C157" s="43">
        <v>0.0</v>
      </c>
      <c r="D157" s="43">
        <v>0.0</v>
      </c>
      <c r="E157" s="13" t="s">
        <v>3831</v>
      </c>
      <c r="F157" s="13" t="s">
        <v>3834</v>
      </c>
    </row>
    <row r="158" ht="15.75" customHeight="1">
      <c r="A158" s="13" t="s">
        <v>1171</v>
      </c>
      <c r="B158" s="43">
        <v>22780.0</v>
      </c>
      <c r="C158" s="43">
        <v>0.0</v>
      </c>
      <c r="D158" s="43">
        <v>0.0</v>
      </c>
      <c r="E158" s="13" t="s">
        <v>3832</v>
      </c>
      <c r="F158" s="13" t="s">
        <v>3834</v>
      </c>
    </row>
    <row r="159" ht="15.75" customHeight="1">
      <c r="A159" s="13" t="s">
        <v>1386</v>
      </c>
      <c r="B159" s="43">
        <v>19091.0</v>
      </c>
      <c r="C159" s="43">
        <v>0.0</v>
      </c>
      <c r="D159" s="43">
        <v>0.0</v>
      </c>
      <c r="E159" s="13" t="s">
        <v>3832</v>
      </c>
      <c r="F159" s="13" t="s">
        <v>3834</v>
      </c>
    </row>
    <row r="160" ht="15.75" customHeight="1">
      <c r="A160" s="13" t="s">
        <v>1196</v>
      </c>
      <c r="B160" s="43">
        <v>22050.0</v>
      </c>
      <c r="C160" s="43">
        <v>0.0</v>
      </c>
      <c r="D160" s="43">
        <v>0.0</v>
      </c>
      <c r="E160" s="13" t="s">
        <v>3831</v>
      </c>
      <c r="F160" s="13" t="s">
        <v>3834</v>
      </c>
    </row>
    <row r="161" ht="15.75" customHeight="1">
      <c r="A161" s="13" t="s">
        <v>1747</v>
      </c>
      <c r="B161" s="43">
        <v>12500.0</v>
      </c>
      <c r="C161" s="43">
        <v>0.0</v>
      </c>
      <c r="D161" s="43">
        <v>0.0</v>
      </c>
      <c r="E161" s="13" t="s">
        <v>3831</v>
      </c>
      <c r="F161" s="13" t="s">
        <v>3834</v>
      </c>
    </row>
    <row r="162" ht="15.75" customHeight="1">
      <c r="A162" s="13" t="s">
        <v>1052</v>
      </c>
      <c r="B162" s="43">
        <v>27184.0</v>
      </c>
      <c r="C162" s="43">
        <v>0.0</v>
      </c>
      <c r="D162" s="43">
        <v>0.0</v>
      </c>
      <c r="E162" s="13" t="s">
        <v>3831</v>
      </c>
      <c r="F162" s="13" t="s">
        <v>3834</v>
      </c>
    </row>
    <row r="163" ht="15.75" customHeight="1">
      <c r="A163" s="13" t="s">
        <v>1829</v>
      </c>
      <c r="B163" s="43">
        <v>1195518.0</v>
      </c>
      <c r="C163" s="43">
        <v>115535.0</v>
      </c>
      <c r="D163" s="43">
        <v>9.7</v>
      </c>
      <c r="E163" s="13" t="s">
        <v>3836</v>
      </c>
      <c r="F163" s="13" t="s">
        <v>3837</v>
      </c>
    </row>
    <row r="164" ht="15.75" customHeight="1">
      <c r="A164" s="42" t="s">
        <v>615</v>
      </c>
    </row>
    <row r="165" ht="15.75" customHeight="1"/>
    <row r="166" ht="15.75" customHeight="1"/>
    <row r="167" ht="15.75" customHeight="1">
      <c r="A167" s="25" t="s">
        <v>3838</v>
      </c>
      <c r="B167" s="26"/>
      <c r="C167" s="26"/>
      <c r="D167" s="26"/>
    </row>
    <row r="168" ht="15.75" customHeight="1">
      <c r="A168" s="27" t="s">
        <v>3839</v>
      </c>
      <c r="B168" s="26"/>
      <c r="C168" s="26"/>
      <c r="D168" s="26"/>
    </row>
    <row r="169" ht="15.75" customHeight="1">
      <c r="A169" s="41" t="s">
        <v>2693</v>
      </c>
      <c r="B169" s="41" t="s">
        <v>3840</v>
      </c>
      <c r="C169" s="41" t="s">
        <v>3841</v>
      </c>
      <c r="D169" s="41" t="s">
        <v>3462</v>
      </c>
    </row>
    <row r="170" ht="15.75" customHeight="1">
      <c r="A170" s="13" t="s">
        <v>3842</v>
      </c>
      <c r="B170" s="13"/>
      <c r="C170" s="13"/>
      <c r="D170" s="13"/>
    </row>
    <row r="171" ht="15.75" customHeight="1">
      <c r="A171" s="43">
        <v>1.0</v>
      </c>
      <c r="B171" s="13" t="s">
        <v>3843</v>
      </c>
      <c r="C171" s="13" t="s">
        <v>3844</v>
      </c>
      <c r="D171" s="13" t="s">
        <v>3845</v>
      </c>
    </row>
    <row r="172" ht="15.75" customHeight="1">
      <c r="A172" s="43">
        <v>2.0</v>
      </c>
      <c r="B172" s="13" t="s">
        <v>3846</v>
      </c>
      <c r="C172" s="13" t="s">
        <v>3847</v>
      </c>
      <c r="D172" s="13" t="s">
        <v>3848</v>
      </c>
    </row>
    <row r="173" ht="15.75" customHeight="1">
      <c r="A173" s="43">
        <v>3.0</v>
      </c>
      <c r="B173" s="13" t="s">
        <v>3849</v>
      </c>
      <c r="C173" s="13" t="s">
        <v>3850</v>
      </c>
      <c r="D173" s="13" t="s">
        <v>3851</v>
      </c>
    </row>
    <row r="174" ht="15.75" customHeight="1">
      <c r="A174" s="43">
        <v>4.0</v>
      </c>
      <c r="B174" s="13" t="s">
        <v>3852</v>
      </c>
      <c r="C174" s="13" t="s">
        <v>3853</v>
      </c>
      <c r="D174" s="13" t="s">
        <v>3854</v>
      </c>
    </row>
    <row r="175" ht="15.75" customHeight="1">
      <c r="A175" s="13" t="s">
        <v>3855</v>
      </c>
      <c r="B175" s="13"/>
      <c r="C175" s="13"/>
      <c r="D175" s="13"/>
    </row>
    <row r="176" ht="15.75" customHeight="1">
      <c r="A176" s="43">
        <v>5.0</v>
      </c>
      <c r="B176" s="13" t="s">
        <v>3856</v>
      </c>
      <c r="C176" s="13" t="s">
        <v>3857</v>
      </c>
      <c r="D176" s="13" t="s">
        <v>3858</v>
      </c>
    </row>
    <row r="177" ht="15.75" customHeight="1">
      <c r="A177" s="43">
        <v>6.0</v>
      </c>
      <c r="B177" s="13" t="s">
        <v>3859</v>
      </c>
      <c r="C177" s="13" t="s">
        <v>3860</v>
      </c>
      <c r="D177" s="13" t="s">
        <v>3861</v>
      </c>
    </row>
    <row r="178" ht="15.75" customHeight="1">
      <c r="A178" s="43">
        <v>7.0</v>
      </c>
      <c r="B178" s="13" t="s">
        <v>3862</v>
      </c>
      <c r="C178" s="13" t="s">
        <v>3863</v>
      </c>
      <c r="D178" s="13" t="s">
        <v>3864</v>
      </c>
    </row>
    <row r="179" ht="15.75" customHeight="1">
      <c r="A179" s="43">
        <v>8.0</v>
      </c>
      <c r="B179" s="13" t="s">
        <v>3865</v>
      </c>
      <c r="C179" s="13" t="s">
        <v>3866</v>
      </c>
      <c r="D179" s="13" t="s">
        <v>3867</v>
      </c>
    </row>
    <row r="180" ht="15.75" customHeight="1">
      <c r="A180" s="43">
        <v>9.0</v>
      </c>
      <c r="B180" s="13" t="s">
        <v>3868</v>
      </c>
      <c r="C180" s="13" t="s">
        <v>3869</v>
      </c>
      <c r="D180" s="13" t="s">
        <v>3870</v>
      </c>
    </row>
    <row r="181" ht="15.75" customHeight="1">
      <c r="A181" s="13" t="s">
        <v>3871</v>
      </c>
      <c r="B181" s="13"/>
      <c r="C181" s="13"/>
      <c r="D181" s="13"/>
    </row>
    <row r="182" ht="15.75" customHeight="1">
      <c r="A182" s="43">
        <v>10.0</v>
      </c>
      <c r="B182" s="13" t="s">
        <v>3872</v>
      </c>
      <c r="C182" s="13" t="s">
        <v>3873</v>
      </c>
      <c r="D182" s="13" t="s">
        <v>3874</v>
      </c>
    </row>
    <row r="183" ht="15.75" customHeight="1">
      <c r="A183" s="43">
        <v>11.0</v>
      </c>
      <c r="B183" s="13" t="s">
        <v>3875</v>
      </c>
      <c r="C183" s="13" t="s">
        <v>3876</v>
      </c>
      <c r="D183" s="13" t="s">
        <v>3877</v>
      </c>
    </row>
    <row r="184" ht="15.75" customHeight="1">
      <c r="A184" s="43">
        <v>12.0</v>
      </c>
      <c r="B184" s="13" t="s">
        <v>3878</v>
      </c>
      <c r="C184" s="13" t="s">
        <v>3879</v>
      </c>
      <c r="D184" s="13" t="s">
        <v>3880</v>
      </c>
    </row>
    <row r="185" ht="15.75" customHeight="1">
      <c r="A185" s="43">
        <v>13.0</v>
      </c>
      <c r="B185" s="13" t="s">
        <v>3881</v>
      </c>
      <c r="C185" s="13" t="s">
        <v>3882</v>
      </c>
      <c r="D185" s="13" t="s">
        <v>3883</v>
      </c>
    </row>
    <row r="186" ht="15.75" customHeight="1"/>
    <row r="187" ht="15.75" customHeight="1"/>
    <row r="188" ht="15.75" customHeight="1">
      <c r="A188" s="25" t="s">
        <v>3884</v>
      </c>
      <c r="B188" s="26"/>
      <c r="C188" s="26"/>
      <c r="D188" s="26"/>
      <c r="E188" s="26"/>
      <c r="F188" s="26"/>
      <c r="G188" s="26"/>
      <c r="H188" s="26"/>
      <c r="I188" s="26"/>
      <c r="J188" s="26"/>
      <c r="K188" s="26"/>
      <c r="L188" s="26"/>
      <c r="M188" s="26"/>
      <c r="N188" s="26"/>
      <c r="O188" s="26"/>
      <c r="P188" s="26"/>
      <c r="Q188" s="26"/>
      <c r="R188" s="26"/>
      <c r="S188" s="26"/>
      <c r="T188" s="26"/>
      <c r="U188" s="26"/>
    </row>
    <row r="189" ht="15.75" customHeight="1">
      <c r="A189" s="27" t="s">
        <v>3885</v>
      </c>
      <c r="B189" s="26"/>
      <c r="C189" s="26"/>
      <c r="D189" s="26"/>
      <c r="E189" s="26"/>
      <c r="F189" s="26"/>
      <c r="G189" s="26"/>
      <c r="H189" s="26"/>
      <c r="I189" s="26"/>
      <c r="J189" s="26"/>
      <c r="K189" s="26"/>
      <c r="L189" s="26"/>
      <c r="M189" s="26"/>
      <c r="N189" s="26"/>
      <c r="O189" s="26"/>
      <c r="P189" s="26"/>
      <c r="Q189" s="26"/>
      <c r="R189" s="26"/>
      <c r="S189" s="26"/>
      <c r="T189" s="26"/>
      <c r="U189" s="26"/>
    </row>
    <row r="190" ht="15.75" customHeight="1">
      <c r="A190" s="41" t="s">
        <v>1099</v>
      </c>
      <c r="B190" s="41" t="s">
        <v>1791</v>
      </c>
      <c r="C190" s="41" t="s">
        <v>1793</v>
      </c>
      <c r="D190" s="41" t="s">
        <v>1796</v>
      </c>
      <c r="E190" s="41" t="s">
        <v>1798</v>
      </c>
      <c r="F190" s="41" t="s">
        <v>2039</v>
      </c>
      <c r="G190" s="41" t="s">
        <v>2041</v>
      </c>
      <c r="H190" s="41" t="s">
        <v>1800</v>
      </c>
      <c r="I190" s="41" t="s">
        <v>1101</v>
      </c>
      <c r="J190" s="41" t="s">
        <v>3886</v>
      </c>
      <c r="K190" s="41" t="s">
        <v>482</v>
      </c>
      <c r="L190" s="41" t="s">
        <v>484</v>
      </c>
      <c r="M190" s="41" t="s">
        <v>486</v>
      </c>
      <c r="N190" s="41" t="s">
        <v>3765</v>
      </c>
      <c r="O190" s="41" t="s">
        <v>3767</v>
      </c>
      <c r="P190" s="41" t="s">
        <v>3769</v>
      </c>
      <c r="Q190" s="41" t="s">
        <v>3887</v>
      </c>
      <c r="R190" s="41" t="s">
        <v>3771</v>
      </c>
      <c r="S190" s="41" t="s">
        <v>3772</v>
      </c>
      <c r="T190" s="41" t="s">
        <v>3773</v>
      </c>
      <c r="U190" s="41" t="s">
        <v>3774</v>
      </c>
    </row>
    <row r="191" ht="15.75" customHeight="1">
      <c r="A191" s="13" t="s">
        <v>1159</v>
      </c>
      <c r="B191" s="43">
        <v>152907.0</v>
      </c>
      <c r="C191" s="43">
        <v>34.0</v>
      </c>
      <c r="D191" s="43">
        <v>1.0</v>
      </c>
      <c r="E191" s="43">
        <v>33.0</v>
      </c>
      <c r="F191" s="43">
        <v>1.0</v>
      </c>
      <c r="G191" s="43">
        <v>152907.0</v>
      </c>
      <c r="H191" s="43">
        <v>2.0</v>
      </c>
      <c r="I191" s="43">
        <v>100.0</v>
      </c>
      <c r="J191" s="13" t="s">
        <v>344</v>
      </c>
      <c r="K191" s="43">
        <v>56.3</v>
      </c>
      <c r="L191" s="43">
        <v>69.2</v>
      </c>
      <c r="M191" s="43">
        <v>204.4</v>
      </c>
      <c r="N191" s="43">
        <v>32.7</v>
      </c>
      <c r="O191" s="43">
        <v>0.87</v>
      </c>
      <c r="P191" s="43">
        <v>1.77</v>
      </c>
      <c r="Q191" s="43">
        <v>28.18</v>
      </c>
      <c r="R191" s="13" t="s">
        <v>1808</v>
      </c>
      <c r="S191" s="13" t="s">
        <v>1808</v>
      </c>
      <c r="T191" s="13" t="s">
        <v>1808</v>
      </c>
      <c r="U191" s="13" t="s">
        <v>1808</v>
      </c>
    </row>
    <row r="192" ht="15.75" customHeight="1">
      <c r="A192" s="13" t="s">
        <v>1153</v>
      </c>
      <c r="B192" s="43">
        <v>124965.0</v>
      </c>
      <c r="C192" s="43">
        <v>39.0</v>
      </c>
      <c r="D192" s="43">
        <v>1.0</v>
      </c>
      <c r="E192" s="43">
        <v>30.0</v>
      </c>
      <c r="F192" s="43">
        <v>9.0</v>
      </c>
      <c r="G192" s="43">
        <v>124965.0</v>
      </c>
      <c r="H192" s="43">
        <v>1.0</v>
      </c>
      <c r="I192" s="43">
        <v>200.0</v>
      </c>
      <c r="J192" s="13" t="s">
        <v>344</v>
      </c>
      <c r="K192" s="43">
        <v>71.4</v>
      </c>
      <c r="L192" s="43">
        <v>70.7</v>
      </c>
      <c r="M192" s="43">
        <v>163.3</v>
      </c>
      <c r="N192" s="43">
        <v>26.1</v>
      </c>
      <c r="O192" s="43">
        <v>4.85</v>
      </c>
      <c r="P192" s="43">
        <v>1.24</v>
      </c>
      <c r="Q192" s="43">
        <v>42.19</v>
      </c>
      <c r="R192" s="13" t="s">
        <v>1808</v>
      </c>
      <c r="S192" s="13" t="s">
        <v>1808</v>
      </c>
      <c r="T192" s="13" t="s">
        <v>1808</v>
      </c>
      <c r="U192" s="13" t="s">
        <v>1808</v>
      </c>
    </row>
    <row r="193" ht="15.75" customHeight="1">
      <c r="A193" s="13" t="s">
        <v>1167</v>
      </c>
      <c r="B193" s="43">
        <v>123209.0</v>
      </c>
      <c r="C193" s="43">
        <v>25.0</v>
      </c>
      <c r="D193" s="43">
        <v>1.0</v>
      </c>
      <c r="E193" s="43">
        <v>24.0</v>
      </c>
      <c r="F193" s="43">
        <v>2.0</v>
      </c>
      <c r="G193" s="43">
        <v>123209.0</v>
      </c>
      <c r="H193" s="43">
        <v>2.0</v>
      </c>
      <c r="I193" s="43">
        <v>35.0</v>
      </c>
      <c r="J193" s="43">
        <v>3.0</v>
      </c>
      <c r="K193" s="43">
        <v>51.7</v>
      </c>
      <c r="L193" s="43">
        <v>76.4</v>
      </c>
      <c r="M193" s="43">
        <v>189.4</v>
      </c>
      <c r="N193" s="43">
        <v>30.3</v>
      </c>
      <c r="O193" s="43">
        <v>2.48</v>
      </c>
      <c r="P193" s="43">
        <v>5.66</v>
      </c>
      <c r="Q193" s="43">
        <v>7.99</v>
      </c>
      <c r="R193" s="13" t="s">
        <v>1808</v>
      </c>
      <c r="S193" s="13" t="s">
        <v>1808</v>
      </c>
      <c r="T193" s="13" t="s">
        <v>1808</v>
      </c>
      <c r="U193" s="13" t="s">
        <v>1808</v>
      </c>
    </row>
    <row r="194" ht="15.75" customHeight="1">
      <c r="A194" s="13" t="s">
        <v>1165</v>
      </c>
      <c r="B194" s="43">
        <v>65363.0</v>
      </c>
      <c r="C194" s="43">
        <v>23.0</v>
      </c>
      <c r="D194" s="43">
        <v>1.0</v>
      </c>
      <c r="E194" s="43">
        <v>17.0</v>
      </c>
      <c r="F194" s="43">
        <v>6.0</v>
      </c>
      <c r="G194" s="43">
        <v>65363.0</v>
      </c>
      <c r="H194" s="43">
        <v>1.0</v>
      </c>
      <c r="I194" s="43">
        <v>25.0</v>
      </c>
      <c r="J194" s="13" t="s">
        <v>344</v>
      </c>
      <c r="K194" s="43">
        <v>58.5</v>
      </c>
      <c r="L194" s="43">
        <v>78.8</v>
      </c>
      <c r="M194" s="43">
        <v>268.0</v>
      </c>
      <c r="N194" s="43">
        <v>42.9</v>
      </c>
      <c r="O194" s="43">
        <v>1.15</v>
      </c>
      <c r="P194" s="43">
        <v>9.36</v>
      </c>
      <c r="Q194" s="43">
        <v>14.76</v>
      </c>
      <c r="R194" s="13" t="s">
        <v>1808</v>
      </c>
      <c r="S194" s="13" t="s">
        <v>1808</v>
      </c>
      <c r="T194" s="13" t="s">
        <v>1808</v>
      </c>
      <c r="U194" s="13" t="s">
        <v>1808</v>
      </c>
    </row>
    <row r="195" ht="15.75" customHeight="1">
      <c r="A195" s="13" t="s">
        <v>1853</v>
      </c>
      <c r="B195" s="43">
        <v>45676.0</v>
      </c>
      <c r="C195" s="43">
        <v>15.0</v>
      </c>
      <c r="D195" s="43">
        <v>1.0</v>
      </c>
      <c r="E195" s="43">
        <v>12.0</v>
      </c>
      <c r="F195" s="43">
        <v>3.0</v>
      </c>
      <c r="G195" s="43">
        <v>45676.0</v>
      </c>
      <c r="H195" s="43">
        <v>0.0</v>
      </c>
      <c r="I195" s="13" t="s">
        <v>344</v>
      </c>
      <c r="J195" s="13" t="s">
        <v>344</v>
      </c>
      <c r="K195" s="43">
        <v>42.2</v>
      </c>
      <c r="L195" s="43">
        <v>35.9</v>
      </c>
      <c r="M195" s="43">
        <v>95.8</v>
      </c>
      <c r="N195" s="43">
        <v>15.3</v>
      </c>
      <c r="O195" s="43">
        <v>1.24</v>
      </c>
      <c r="P195" s="43">
        <v>5.94</v>
      </c>
      <c r="Q195" s="43">
        <v>0.06</v>
      </c>
      <c r="R195" s="13" t="s">
        <v>1808</v>
      </c>
      <c r="S195" s="13" t="s">
        <v>1808</v>
      </c>
      <c r="T195" s="13" t="s">
        <v>1811</v>
      </c>
      <c r="U195" s="13" t="s">
        <v>1808</v>
      </c>
    </row>
    <row r="196" ht="15.75" customHeight="1">
      <c r="A196" s="13" t="s">
        <v>1824</v>
      </c>
      <c r="B196" s="43">
        <v>43301.0</v>
      </c>
      <c r="C196" s="43">
        <v>14.0</v>
      </c>
      <c r="D196" s="43">
        <v>1.0</v>
      </c>
      <c r="E196" s="43">
        <v>13.0</v>
      </c>
      <c r="F196" s="43">
        <v>2.0</v>
      </c>
      <c r="G196" s="43">
        <v>43301.0</v>
      </c>
      <c r="H196" s="43">
        <v>0.0</v>
      </c>
      <c r="I196" s="13" t="s">
        <v>344</v>
      </c>
      <c r="J196" s="13" t="s">
        <v>344</v>
      </c>
      <c r="K196" s="43">
        <v>56.9</v>
      </c>
      <c r="L196" s="43">
        <v>34.2</v>
      </c>
      <c r="M196" s="43">
        <v>109.8</v>
      </c>
      <c r="N196" s="43">
        <v>17.6</v>
      </c>
      <c r="O196" s="43">
        <v>2.8</v>
      </c>
      <c r="P196" s="43">
        <v>10.25</v>
      </c>
      <c r="Q196" s="43">
        <v>0.02</v>
      </c>
      <c r="R196" s="13" t="s">
        <v>1808</v>
      </c>
      <c r="S196" s="13" t="s">
        <v>1808</v>
      </c>
      <c r="T196" s="13" t="s">
        <v>1808</v>
      </c>
      <c r="U196" s="13" t="s">
        <v>1808</v>
      </c>
    </row>
    <row r="197" ht="15.75" customHeight="1">
      <c r="A197" s="13" t="s">
        <v>1857</v>
      </c>
      <c r="B197" s="43">
        <v>41146.0</v>
      </c>
      <c r="C197" s="43">
        <v>8.0</v>
      </c>
      <c r="D197" s="43">
        <v>1.0</v>
      </c>
      <c r="E197" s="43">
        <v>7.0</v>
      </c>
      <c r="F197" s="43">
        <v>1.0</v>
      </c>
      <c r="G197" s="43">
        <v>41146.0</v>
      </c>
      <c r="H197" s="43">
        <v>0.0</v>
      </c>
      <c r="I197" s="13" t="s">
        <v>344</v>
      </c>
      <c r="J197" s="13" t="s">
        <v>344</v>
      </c>
      <c r="K197" s="43">
        <v>50.4</v>
      </c>
      <c r="L197" s="43">
        <v>63.5</v>
      </c>
      <c r="M197" s="43">
        <v>147.6</v>
      </c>
      <c r="N197" s="43">
        <v>23.6</v>
      </c>
      <c r="O197" s="43">
        <v>0.79</v>
      </c>
      <c r="P197" s="43">
        <v>2.84</v>
      </c>
      <c r="Q197" s="43">
        <v>0.04</v>
      </c>
      <c r="R197" s="13" t="s">
        <v>1811</v>
      </c>
      <c r="S197" s="13" t="s">
        <v>1811</v>
      </c>
      <c r="T197" s="13" t="s">
        <v>1811</v>
      </c>
      <c r="U197" s="13" t="s">
        <v>1808</v>
      </c>
    </row>
    <row r="198" ht="15.75" customHeight="1">
      <c r="A198" s="13" t="s">
        <v>1822</v>
      </c>
      <c r="B198" s="43">
        <v>32088.0</v>
      </c>
      <c r="C198" s="43">
        <v>13.0</v>
      </c>
      <c r="D198" s="43">
        <v>1.0</v>
      </c>
      <c r="E198" s="43">
        <v>10.0</v>
      </c>
      <c r="F198" s="43">
        <v>3.0</v>
      </c>
      <c r="G198" s="43">
        <v>32088.0</v>
      </c>
      <c r="H198" s="43">
        <v>0.0</v>
      </c>
      <c r="I198" s="13" t="s">
        <v>344</v>
      </c>
      <c r="J198" s="13" t="s">
        <v>344</v>
      </c>
      <c r="K198" s="43">
        <v>41.2</v>
      </c>
      <c r="L198" s="43">
        <v>24.0</v>
      </c>
      <c r="M198" s="43">
        <v>70.9</v>
      </c>
      <c r="N198" s="43">
        <v>11.3</v>
      </c>
      <c r="O198" s="43">
        <v>3.39</v>
      </c>
      <c r="P198" s="43">
        <v>11.34</v>
      </c>
      <c r="Q198" s="43">
        <v>0.02</v>
      </c>
      <c r="R198" s="13" t="s">
        <v>1811</v>
      </c>
      <c r="S198" s="13" t="s">
        <v>1811</v>
      </c>
      <c r="T198" s="13" t="s">
        <v>1808</v>
      </c>
      <c r="U198" s="13" t="s">
        <v>1808</v>
      </c>
    </row>
    <row r="199" ht="15.75" customHeight="1">
      <c r="A199" s="13" t="s">
        <v>1864</v>
      </c>
      <c r="B199" s="43">
        <v>31863.0</v>
      </c>
      <c r="C199" s="43">
        <v>17.0</v>
      </c>
      <c r="D199" s="43">
        <v>1.0</v>
      </c>
      <c r="E199" s="43">
        <v>10.0</v>
      </c>
      <c r="F199" s="43">
        <v>8.0</v>
      </c>
      <c r="G199" s="43">
        <v>31863.0</v>
      </c>
      <c r="H199" s="43">
        <v>0.0</v>
      </c>
      <c r="I199" s="13" t="s">
        <v>344</v>
      </c>
      <c r="J199" s="13" t="s">
        <v>344</v>
      </c>
      <c r="K199" s="43">
        <v>85.3</v>
      </c>
      <c r="L199" s="43">
        <v>69.6</v>
      </c>
      <c r="M199" s="43">
        <v>122.2</v>
      </c>
      <c r="N199" s="43">
        <v>19.6</v>
      </c>
      <c r="O199" s="43">
        <v>0.43</v>
      </c>
      <c r="P199" s="43">
        <v>11.56</v>
      </c>
      <c r="Q199" s="43">
        <v>0.1</v>
      </c>
      <c r="R199" s="13" t="s">
        <v>1808</v>
      </c>
      <c r="S199" s="13" t="s">
        <v>1808</v>
      </c>
      <c r="T199" s="13" t="s">
        <v>1808</v>
      </c>
      <c r="U199" s="13" t="s">
        <v>1808</v>
      </c>
    </row>
    <row r="200" ht="15.75" customHeight="1">
      <c r="A200" s="13" t="s">
        <v>1813</v>
      </c>
      <c r="B200" s="43">
        <v>30828.0</v>
      </c>
      <c r="C200" s="43">
        <v>13.0</v>
      </c>
      <c r="D200" s="43">
        <v>1.0</v>
      </c>
      <c r="E200" s="43">
        <v>13.0</v>
      </c>
      <c r="F200" s="43">
        <v>0.0</v>
      </c>
      <c r="G200" s="43">
        <v>30828.0</v>
      </c>
      <c r="H200" s="43">
        <v>0.0</v>
      </c>
      <c r="I200" s="13" t="s">
        <v>344</v>
      </c>
      <c r="J200" s="13" t="s">
        <v>344</v>
      </c>
      <c r="K200" s="43">
        <v>72.6</v>
      </c>
      <c r="L200" s="43">
        <v>98.0</v>
      </c>
      <c r="M200" s="43">
        <v>303.6</v>
      </c>
      <c r="N200" s="43">
        <v>48.6</v>
      </c>
      <c r="O200" s="43">
        <v>9.51</v>
      </c>
      <c r="P200" s="43">
        <v>18.4</v>
      </c>
      <c r="Q200" s="43">
        <v>0.13</v>
      </c>
      <c r="R200" s="13" t="s">
        <v>1808</v>
      </c>
      <c r="S200" s="13" t="s">
        <v>1811</v>
      </c>
      <c r="T200" s="13" t="s">
        <v>1811</v>
      </c>
      <c r="U200" s="13" t="s">
        <v>1808</v>
      </c>
    </row>
    <row r="201" ht="15.75" customHeight="1">
      <c r="A201" s="13" t="s">
        <v>1875</v>
      </c>
      <c r="B201" s="43">
        <v>30332.0</v>
      </c>
      <c r="C201" s="43">
        <v>11.0</v>
      </c>
      <c r="D201" s="43">
        <v>1.0</v>
      </c>
      <c r="E201" s="43">
        <v>5.0</v>
      </c>
      <c r="F201" s="43">
        <v>6.0</v>
      </c>
      <c r="G201" s="43">
        <v>30332.0</v>
      </c>
      <c r="H201" s="43">
        <v>0.0</v>
      </c>
      <c r="I201" s="13" t="s">
        <v>344</v>
      </c>
      <c r="J201" s="13" t="s">
        <v>344</v>
      </c>
      <c r="K201" s="43">
        <v>54.1</v>
      </c>
      <c r="L201" s="43">
        <v>66.6</v>
      </c>
      <c r="M201" s="43">
        <v>70.3</v>
      </c>
      <c r="N201" s="43">
        <v>11.2</v>
      </c>
      <c r="O201" s="43">
        <v>0.33</v>
      </c>
      <c r="P201" s="43">
        <v>3.85</v>
      </c>
      <c r="Q201" s="43">
        <v>0.06</v>
      </c>
      <c r="R201" s="13" t="s">
        <v>1808</v>
      </c>
      <c r="S201" s="13" t="s">
        <v>1808</v>
      </c>
      <c r="T201" s="13" t="s">
        <v>1811</v>
      </c>
      <c r="U201" s="13" t="s">
        <v>1808</v>
      </c>
    </row>
    <row r="202" ht="15.75" customHeight="1">
      <c r="A202" s="13" t="s">
        <v>1847</v>
      </c>
      <c r="B202" s="43">
        <v>19750.0</v>
      </c>
      <c r="C202" s="43">
        <v>9.0</v>
      </c>
      <c r="D202" s="43">
        <v>1.0</v>
      </c>
      <c r="E202" s="43">
        <v>4.0</v>
      </c>
      <c r="F202" s="43">
        <v>5.0</v>
      </c>
      <c r="G202" s="43">
        <v>19750.0</v>
      </c>
      <c r="H202" s="43">
        <v>0.0</v>
      </c>
      <c r="I202" s="13" t="s">
        <v>344</v>
      </c>
      <c r="J202" s="13" t="s">
        <v>344</v>
      </c>
      <c r="K202" s="43">
        <v>80.7</v>
      </c>
      <c r="L202" s="43">
        <v>28.2</v>
      </c>
      <c r="M202" s="43">
        <v>159.2</v>
      </c>
      <c r="N202" s="43">
        <v>25.5</v>
      </c>
      <c r="O202" s="43">
        <v>1.77</v>
      </c>
      <c r="P202" s="43">
        <v>5.99</v>
      </c>
      <c r="Q202" s="43">
        <v>0.03</v>
      </c>
      <c r="R202" s="13" t="s">
        <v>1808</v>
      </c>
      <c r="S202" s="13" t="s">
        <v>1808</v>
      </c>
      <c r="T202" s="13" t="s">
        <v>1808</v>
      </c>
      <c r="U202" s="13" t="s">
        <v>1808</v>
      </c>
    </row>
    <row r="203" ht="15.75" customHeight="1">
      <c r="A203" s="13" t="s">
        <v>1963</v>
      </c>
      <c r="B203" s="43">
        <v>741428.0</v>
      </c>
      <c r="C203" s="43">
        <v>221.0</v>
      </c>
      <c r="D203" s="43">
        <v>12.0</v>
      </c>
      <c r="E203" s="43">
        <v>178.0</v>
      </c>
      <c r="F203" s="43">
        <v>46.0</v>
      </c>
      <c r="G203" s="43">
        <v>61786.0</v>
      </c>
      <c r="H203" s="43">
        <v>6.0</v>
      </c>
      <c r="I203" s="43">
        <v>360.0</v>
      </c>
      <c r="J203" s="43">
        <v>3.0</v>
      </c>
      <c r="K203" s="43">
        <v>60.1</v>
      </c>
      <c r="L203" s="43">
        <v>59.6</v>
      </c>
      <c r="M203" s="43">
        <v>158.7</v>
      </c>
      <c r="N203" s="43">
        <v>27.7</v>
      </c>
      <c r="O203" s="43">
        <v>2.47</v>
      </c>
      <c r="P203" s="43">
        <v>7.35</v>
      </c>
      <c r="Q203" s="43">
        <v>7.8</v>
      </c>
      <c r="R203" s="13" t="s">
        <v>3888</v>
      </c>
      <c r="S203" s="13" t="s">
        <v>3889</v>
      </c>
      <c r="T203" s="13" t="s">
        <v>3890</v>
      </c>
      <c r="U203" s="13" t="s">
        <v>3891</v>
      </c>
    </row>
    <row r="204" ht="15.75" customHeight="1">
      <c r="A204" s="13" t="s">
        <v>1990</v>
      </c>
      <c r="B204" s="43">
        <v>383383.0</v>
      </c>
      <c r="C204" s="43">
        <v>37.0</v>
      </c>
      <c r="D204" s="43">
        <v>1.0</v>
      </c>
      <c r="E204" s="43">
        <v>39.0</v>
      </c>
      <c r="F204" s="43">
        <v>1.0</v>
      </c>
      <c r="G204" s="43">
        <v>383383.0</v>
      </c>
      <c r="H204" s="43">
        <v>6.0</v>
      </c>
      <c r="I204" s="43">
        <v>512.0</v>
      </c>
      <c r="J204" s="43">
        <v>18.0</v>
      </c>
      <c r="K204" s="43">
        <v>52.6</v>
      </c>
      <c r="L204" s="43">
        <v>93.1</v>
      </c>
      <c r="M204" s="43">
        <v>714.6</v>
      </c>
      <c r="N204" s="43">
        <v>114.3</v>
      </c>
      <c r="O204" s="43">
        <v>6.45</v>
      </c>
      <c r="P204" s="43">
        <v>5.55</v>
      </c>
      <c r="Q204" s="43">
        <v>56.51</v>
      </c>
      <c r="R204" s="13" t="s">
        <v>1808</v>
      </c>
      <c r="S204" s="13" t="s">
        <v>1808</v>
      </c>
      <c r="T204" s="13" t="s">
        <v>1808</v>
      </c>
      <c r="U204" s="13" t="s">
        <v>1808</v>
      </c>
    </row>
    <row r="205" ht="15.75" customHeight="1">
      <c r="A205" s="42" t="s">
        <v>830</v>
      </c>
    </row>
    <row r="206" ht="15.75" customHeight="1"/>
    <row r="207" ht="15.75" customHeight="1"/>
    <row r="208" ht="15.75" customHeight="1">
      <c r="A208" s="25" t="s">
        <v>3892</v>
      </c>
      <c r="B208" s="26"/>
      <c r="C208" s="26"/>
      <c r="D208" s="26"/>
      <c r="E208" s="26"/>
      <c r="F208" s="26"/>
      <c r="G208" s="26"/>
      <c r="H208" s="26"/>
    </row>
    <row r="209" ht="15.75" customHeight="1">
      <c r="A209" s="27" t="s">
        <v>3893</v>
      </c>
      <c r="B209" s="26"/>
      <c r="C209" s="26"/>
      <c r="D209" s="26"/>
      <c r="E209" s="26"/>
      <c r="F209" s="26"/>
      <c r="G209" s="26"/>
      <c r="H209" s="26"/>
    </row>
    <row r="210" ht="15.75" customHeight="1">
      <c r="A210" s="41" t="s">
        <v>1099</v>
      </c>
      <c r="B210" s="41" t="s">
        <v>464</v>
      </c>
      <c r="C210" s="41" t="s">
        <v>3894</v>
      </c>
      <c r="D210" s="41" t="s">
        <v>3895</v>
      </c>
      <c r="E210" s="41" t="s">
        <v>479</v>
      </c>
      <c r="F210" s="41" t="s">
        <v>3896</v>
      </c>
      <c r="G210" s="41" t="s">
        <v>3826</v>
      </c>
      <c r="H210" s="41" t="s">
        <v>3827</v>
      </c>
    </row>
    <row r="211" ht="15.75" customHeight="1">
      <c r="A211" s="13" t="s">
        <v>1847</v>
      </c>
      <c r="B211" s="43">
        <v>19750.0</v>
      </c>
      <c r="C211" s="43">
        <v>5.0</v>
      </c>
      <c r="D211" s="43">
        <v>55.6</v>
      </c>
      <c r="E211" s="13" t="s">
        <v>3897</v>
      </c>
      <c r="F211" s="13" t="s">
        <v>3897</v>
      </c>
      <c r="G211" s="13" t="s">
        <v>3829</v>
      </c>
      <c r="H211" s="13" t="s">
        <v>3898</v>
      </c>
    </row>
    <row r="212" ht="15.75" customHeight="1">
      <c r="A212" s="13" t="s">
        <v>1875</v>
      </c>
      <c r="B212" s="43">
        <v>30332.0</v>
      </c>
      <c r="C212" s="43">
        <v>6.0</v>
      </c>
      <c r="D212" s="43">
        <v>54.5</v>
      </c>
      <c r="E212" s="13" t="s">
        <v>3897</v>
      </c>
      <c r="F212" s="13" t="s">
        <v>3897</v>
      </c>
      <c r="G212" s="13" t="s">
        <v>3899</v>
      </c>
      <c r="H212" s="13" t="s">
        <v>3898</v>
      </c>
    </row>
    <row r="213" ht="15.75" customHeight="1">
      <c r="A213" s="13" t="s">
        <v>1864</v>
      </c>
      <c r="B213" s="43">
        <v>31863.0</v>
      </c>
      <c r="C213" s="43">
        <v>8.0</v>
      </c>
      <c r="D213" s="43">
        <v>47.1</v>
      </c>
      <c r="E213" s="13" t="s">
        <v>3897</v>
      </c>
      <c r="F213" s="13" t="s">
        <v>3897</v>
      </c>
      <c r="G213" s="13" t="s">
        <v>3829</v>
      </c>
      <c r="H213" s="13" t="s">
        <v>3898</v>
      </c>
    </row>
    <row r="214" ht="15.75" customHeight="1">
      <c r="A214" s="13" t="s">
        <v>1165</v>
      </c>
      <c r="B214" s="43">
        <v>65363.0</v>
      </c>
      <c r="C214" s="43">
        <v>6.0</v>
      </c>
      <c r="D214" s="43">
        <v>26.1</v>
      </c>
      <c r="E214" s="43">
        <v>25.0</v>
      </c>
      <c r="F214" s="13" t="s">
        <v>3900</v>
      </c>
      <c r="G214" s="13" t="s">
        <v>3829</v>
      </c>
      <c r="H214" s="13" t="s">
        <v>3898</v>
      </c>
    </row>
    <row r="215" ht="15.75" customHeight="1">
      <c r="A215" s="13" t="s">
        <v>1153</v>
      </c>
      <c r="B215" s="43">
        <v>124965.0</v>
      </c>
      <c r="C215" s="43">
        <v>9.0</v>
      </c>
      <c r="D215" s="43">
        <v>23.1</v>
      </c>
      <c r="E215" s="43">
        <v>200.0</v>
      </c>
      <c r="F215" s="13" t="s">
        <v>3897</v>
      </c>
      <c r="G215" s="13" t="s">
        <v>3829</v>
      </c>
      <c r="H215" s="13" t="s">
        <v>3898</v>
      </c>
    </row>
    <row r="216" ht="15.75" customHeight="1">
      <c r="A216" s="13" t="s">
        <v>1822</v>
      </c>
      <c r="B216" s="43">
        <v>32088.0</v>
      </c>
      <c r="C216" s="43">
        <v>3.0</v>
      </c>
      <c r="D216" s="43">
        <v>23.1</v>
      </c>
      <c r="E216" s="13" t="s">
        <v>3897</v>
      </c>
      <c r="F216" s="13" t="s">
        <v>3897</v>
      </c>
      <c r="G216" s="13" t="s">
        <v>3829</v>
      </c>
      <c r="H216" s="13" t="s">
        <v>3898</v>
      </c>
    </row>
    <row r="217" ht="15.75" customHeight="1">
      <c r="A217" s="13" t="s">
        <v>1853</v>
      </c>
      <c r="B217" s="43">
        <v>45676.0</v>
      </c>
      <c r="C217" s="43">
        <v>3.0</v>
      </c>
      <c r="D217" s="43">
        <v>20.0</v>
      </c>
      <c r="E217" s="13" t="s">
        <v>3897</v>
      </c>
      <c r="F217" s="13" t="s">
        <v>3897</v>
      </c>
      <c r="G217" s="13" t="s">
        <v>3829</v>
      </c>
      <c r="H217" s="13" t="s">
        <v>3898</v>
      </c>
    </row>
    <row r="218" ht="15.75" customHeight="1">
      <c r="A218" s="13" t="s">
        <v>1824</v>
      </c>
      <c r="B218" s="43">
        <v>43301.0</v>
      </c>
      <c r="C218" s="43">
        <v>2.0</v>
      </c>
      <c r="D218" s="43">
        <v>14.3</v>
      </c>
      <c r="E218" s="13" t="s">
        <v>3897</v>
      </c>
      <c r="F218" s="13" t="s">
        <v>3897</v>
      </c>
      <c r="G218" s="13" t="s">
        <v>3829</v>
      </c>
      <c r="H218" s="13" t="s">
        <v>3833</v>
      </c>
    </row>
    <row r="219" ht="15.75" customHeight="1">
      <c r="A219" s="13" t="s">
        <v>1857</v>
      </c>
      <c r="B219" s="43">
        <v>41146.0</v>
      </c>
      <c r="C219" s="43">
        <v>1.0</v>
      </c>
      <c r="D219" s="43">
        <v>12.5</v>
      </c>
      <c r="E219" s="13" t="s">
        <v>3897</v>
      </c>
      <c r="F219" s="13" t="s">
        <v>3897</v>
      </c>
      <c r="G219" s="13" t="s">
        <v>3829</v>
      </c>
      <c r="H219" s="13" t="s">
        <v>3833</v>
      </c>
    </row>
    <row r="220" ht="15.75" customHeight="1">
      <c r="A220" s="13" t="s">
        <v>1167</v>
      </c>
      <c r="B220" s="43">
        <v>123209.0</v>
      </c>
      <c r="C220" s="43">
        <v>2.0</v>
      </c>
      <c r="D220" s="43">
        <v>8.0</v>
      </c>
      <c r="E220" s="43">
        <v>35.0</v>
      </c>
      <c r="F220" s="43">
        <v>3.0</v>
      </c>
      <c r="G220" s="13" t="s">
        <v>3901</v>
      </c>
      <c r="H220" s="13" t="s">
        <v>3898</v>
      </c>
    </row>
    <row r="221" ht="15.75" customHeight="1">
      <c r="A221" s="13" t="s">
        <v>1159</v>
      </c>
      <c r="B221" s="43">
        <v>152907.0</v>
      </c>
      <c r="C221" s="43">
        <v>1.0</v>
      </c>
      <c r="D221" s="43">
        <v>2.9</v>
      </c>
      <c r="E221" s="43">
        <v>100.0</v>
      </c>
      <c r="F221" s="13" t="s">
        <v>3897</v>
      </c>
      <c r="G221" s="13" t="s">
        <v>3829</v>
      </c>
      <c r="H221" s="13" t="s">
        <v>3898</v>
      </c>
    </row>
    <row r="222" ht="15.75" customHeight="1">
      <c r="A222" s="13" t="s">
        <v>1813</v>
      </c>
      <c r="B222" s="43">
        <v>30828.0</v>
      </c>
      <c r="C222" s="43">
        <v>0.0</v>
      </c>
      <c r="D222" s="43">
        <v>0.0</v>
      </c>
      <c r="E222" s="13" t="s">
        <v>3897</v>
      </c>
      <c r="F222" s="13" t="s">
        <v>3897</v>
      </c>
      <c r="G222" s="13" t="s">
        <v>3902</v>
      </c>
      <c r="H222" s="13" t="s">
        <v>3833</v>
      </c>
    </row>
    <row r="223" ht="15.75" customHeight="1">
      <c r="A223" s="13" t="s">
        <v>1963</v>
      </c>
      <c r="B223" s="43">
        <v>741428.0</v>
      </c>
      <c r="C223" s="43">
        <v>46.0</v>
      </c>
      <c r="D223" s="43">
        <v>20.8</v>
      </c>
      <c r="E223" s="43">
        <v>360.0</v>
      </c>
      <c r="F223" s="43">
        <v>3.0</v>
      </c>
      <c r="G223" s="13" t="s">
        <v>3903</v>
      </c>
      <c r="H223" s="13" t="s">
        <v>3904</v>
      </c>
    </row>
    <row r="224" ht="15.75" customHeight="1">
      <c r="A224" s="42" t="s">
        <v>835</v>
      </c>
    </row>
    <row r="225" ht="15.75" customHeight="1"/>
    <row r="226" ht="15.75" customHeight="1"/>
    <row r="227" ht="15.75" customHeight="1">
      <c r="A227" s="25" t="s">
        <v>3905</v>
      </c>
      <c r="B227" s="26"/>
      <c r="C227" s="26"/>
      <c r="D227" s="26"/>
    </row>
    <row r="228" ht="15.75" customHeight="1">
      <c r="A228" s="27" t="s">
        <v>3906</v>
      </c>
      <c r="B228" s="26"/>
      <c r="C228" s="26"/>
      <c r="D228" s="26"/>
    </row>
    <row r="229" ht="15.75" customHeight="1">
      <c r="A229" s="41" t="s">
        <v>2693</v>
      </c>
      <c r="B229" s="41" t="s">
        <v>3840</v>
      </c>
      <c r="C229" s="41" t="s">
        <v>3841</v>
      </c>
      <c r="D229" s="41" t="s">
        <v>3462</v>
      </c>
    </row>
    <row r="230" ht="15.75" customHeight="1">
      <c r="A230" s="13" t="s">
        <v>3842</v>
      </c>
      <c r="B230" s="13"/>
      <c r="C230" s="13"/>
      <c r="D230" s="13"/>
    </row>
    <row r="231" ht="15.75" customHeight="1">
      <c r="A231" s="43">
        <v>1.0</v>
      </c>
      <c r="B231" s="13" t="s">
        <v>3907</v>
      </c>
      <c r="C231" s="13" t="s">
        <v>3908</v>
      </c>
      <c r="D231" s="13" t="s">
        <v>3909</v>
      </c>
    </row>
    <row r="232" ht="15.75" customHeight="1">
      <c r="A232" s="43">
        <v>2.0</v>
      </c>
      <c r="B232" s="13" t="s">
        <v>3910</v>
      </c>
      <c r="C232" s="13" t="s">
        <v>3911</v>
      </c>
      <c r="D232" s="13" t="s">
        <v>3912</v>
      </c>
    </row>
    <row r="233" ht="15.75" customHeight="1">
      <c r="A233" s="43">
        <v>3.0</v>
      </c>
      <c r="B233" s="13" t="s">
        <v>3913</v>
      </c>
      <c r="C233" s="13" t="s">
        <v>3914</v>
      </c>
      <c r="D233" s="13" t="s">
        <v>3915</v>
      </c>
    </row>
    <row r="234" ht="15.75" customHeight="1">
      <c r="A234" s="43">
        <v>4.0</v>
      </c>
      <c r="B234" s="13" t="s">
        <v>3916</v>
      </c>
      <c r="C234" s="13" t="s">
        <v>3917</v>
      </c>
      <c r="D234" s="13" t="s">
        <v>3918</v>
      </c>
    </row>
    <row r="235" ht="15.75" customHeight="1">
      <c r="A235" s="13" t="s">
        <v>3855</v>
      </c>
      <c r="B235" s="13"/>
      <c r="C235" s="13"/>
      <c r="D235" s="13"/>
    </row>
    <row r="236" ht="15.75" customHeight="1">
      <c r="A236" s="43">
        <v>5.0</v>
      </c>
      <c r="B236" s="13" t="s">
        <v>3919</v>
      </c>
      <c r="C236" s="13" t="s">
        <v>3920</v>
      </c>
      <c r="D236" s="13" t="s">
        <v>3921</v>
      </c>
    </row>
    <row r="237" ht="15.75" customHeight="1">
      <c r="A237" s="43">
        <v>6.0</v>
      </c>
      <c r="B237" s="13" t="s">
        <v>3922</v>
      </c>
      <c r="C237" s="13" t="s">
        <v>3923</v>
      </c>
      <c r="D237" s="13" t="s">
        <v>3924</v>
      </c>
    </row>
    <row r="238" ht="15.75" customHeight="1">
      <c r="A238" s="43">
        <v>7.0</v>
      </c>
      <c r="B238" s="13" t="s">
        <v>3925</v>
      </c>
      <c r="C238" s="13" t="s">
        <v>3926</v>
      </c>
      <c r="D238" s="13" t="s">
        <v>3927</v>
      </c>
    </row>
    <row r="239" ht="15.75" customHeight="1">
      <c r="A239" s="43">
        <v>8.0</v>
      </c>
      <c r="B239" s="13" t="s">
        <v>3928</v>
      </c>
      <c r="C239" s="13" t="s">
        <v>3929</v>
      </c>
      <c r="D239" s="13" t="s">
        <v>3930</v>
      </c>
    </row>
    <row r="240" ht="15.75" customHeight="1">
      <c r="A240" s="43">
        <v>9.0</v>
      </c>
      <c r="B240" s="13" t="s">
        <v>3931</v>
      </c>
      <c r="C240" s="13" t="s">
        <v>3932</v>
      </c>
      <c r="D240" s="13" t="s">
        <v>3933</v>
      </c>
    </row>
    <row r="241" ht="15.75" customHeight="1">
      <c r="A241" s="13" t="s">
        <v>3871</v>
      </c>
      <c r="B241" s="13"/>
      <c r="C241" s="13"/>
      <c r="D241" s="13"/>
    </row>
    <row r="242" ht="15.75" customHeight="1">
      <c r="A242" s="43">
        <v>10.0</v>
      </c>
      <c r="B242" s="13" t="s">
        <v>3934</v>
      </c>
      <c r="C242" s="13" t="s">
        <v>3935</v>
      </c>
      <c r="D242" s="13" t="s">
        <v>3936</v>
      </c>
    </row>
    <row r="243" ht="15.75" customHeight="1">
      <c r="A243" s="43">
        <v>11.0</v>
      </c>
      <c r="B243" s="13" t="s">
        <v>3937</v>
      </c>
      <c r="C243" s="13" t="s">
        <v>3938</v>
      </c>
      <c r="D243" s="13" t="s">
        <v>3939</v>
      </c>
    </row>
    <row r="244" ht="15.75" customHeight="1">
      <c r="A244" s="43">
        <v>12.0</v>
      </c>
      <c r="B244" s="13" t="s">
        <v>3940</v>
      </c>
      <c r="C244" s="13" t="s">
        <v>3941</v>
      </c>
      <c r="D244" s="13" t="s">
        <v>3942</v>
      </c>
    </row>
    <row r="245" ht="15.75" customHeight="1">
      <c r="A245" s="43">
        <v>13.0</v>
      </c>
      <c r="B245" s="13" t="s">
        <v>3943</v>
      </c>
      <c r="C245" s="13" t="s">
        <v>3944</v>
      </c>
      <c r="D245" s="13" t="s">
        <v>3945</v>
      </c>
    </row>
    <row r="246" ht="15.75" customHeight="1"/>
    <row r="247" ht="15.75" customHeight="1"/>
    <row r="248" ht="15.75" customHeight="1">
      <c r="A248" s="25" t="s">
        <v>3946</v>
      </c>
      <c r="B248" s="26"/>
      <c r="C248" s="26"/>
      <c r="D248" s="26"/>
      <c r="E248" s="26"/>
      <c r="F248" s="26"/>
      <c r="G248" s="26"/>
      <c r="H248" s="26"/>
      <c r="I248" s="26"/>
      <c r="J248" s="26"/>
      <c r="K248" s="26"/>
      <c r="L248" s="26"/>
      <c r="M248" s="26"/>
      <c r="N248" s="26"/>
      <c r="O248" s="26"/>
      <c r="P248" s="26"/>
      <c r="Q248" s="26"/>
      <c r="R248" s="26"/>
      <c r="S248" s="26"/>
      <c r="T248" s="26"/>
    </row>
    <row r="249" ht="15.75" customHeight="1">
      <c r="A249" s="27" t="s">
        <v>3947</v>
      </c>
      <c r="B249" s="26"/>
      <c r="C249" s="26"/>
      <c r="D249" s="26"/>
      <c r="E249" s="26"/>
      <c r="F249" s="26"/>
      <c r="G249" s="26"/>
      <c r="H249" s="26"/>
      <c r="I249" s="26"/>
      <c r="J249" s="26"/>
      <c r="K249" s="26"/>
      <c r="L249" s="26"/>
      <c r="M249" s="26"/>
      <c r="N249" s="26"/>
      <c r="O249" s="26"/>
      <c r="P249" s="26"/>
      <c r="Q249" s="26"/>
      <c r="R249" s="26"/>
      <c r="S249" s="26"/>
      <c r="T249" s="26"/>
    </row>
    <row r="250" ht="15.75" customHeight="1">
      <c r="A250" s="41" t="s">
        <v>1099</v>
      </c>
      <c r="B250" s="41" t="s">
        <v>1791</v>
      </c>
      <c r="C250" s="41" t="s">
        <v>3948</v>
      </c>
      <c r="D250" s="41" t="s">
        <v>3949</v>
      </c>
      <c r="E250" s="41" t="s">
        <v>1796</v>
      </c>
      <c r="F250" s="41" t="s">
        <v>1798</v>
      </c>
      <c r="G250" s="41" t="s">
        <v>3950</v>
      </c>
      <c r="H250" s="41" t="s">
        <v>1800</v>
      </c>
      <c r="I250" s="41" t="s">
        <v>3951</v>
      </c>
      <c r="J250" s="41" t="s">
        <v>1101</v>
      </c>
      <c r="K250" s="41" t="s">
        <v>3952</v>
      </c>
      <c r="L250" s="41" t="s">
        <v>1804</v>
      </c>
      <c r="M250" s="41" t="s">
        <v>482</v>
      </c>
      <c r="N250" s="41" t="s">
        <v>490</v>
      </c>
      <c r="O250" s="41" t="s">
        <v>486</v>
      </c>
      <c r="P250" s="41" t="s">
        <v>487</v>
      </c>
      <c r="Q250" s="41" t="s">
        <v>3953</v>
      </c>
      <c r="R250" s="41" t="s">
        <v>3954</v>
      </c>
      <c r="S250" s="41" t="s">
        <v>3771</v>
      </c>
      <c r="T250" s="41" t="s">
        <v>3774</v>
      </c>
    </row>
    <row r="251" ht="15.75" customHeight="1">
      <c r="A251" s="13" t="s">
        <v>1207</v>
      </c>
      <c r="B251" s="43">
        <v>60931.0</v>
      </c>
      <c r="C251" s="43">
        <v>7.0</v>
      </c>
      <c r="D251" s="13" t="s">
        <v>3955</v>
      </c>
      <c r="E251" s="43">
        <v>1.0</v>
      </c>
      <c r="F251" s="43">
        <v>2.0</v>
      </c>
      <c r="G251" s="43">
        <v>1.0</v>
      </c>
      <c r="H251" s="43">
        <v>1.0</v>
      </c>
      <c r="I251" s="43">
        <v>2.0</v>
      </c>
      <c r="J251" s="43">
        <v>139.0</v>
      </c>
      <c r="K251" s="43">
        <v>4.0</v>
      </c>
      <c r="L251" s="43">
        <v>60931.0</v>
      </c>
      <c r="M251" s="43">
        <v>63.1</v>
      </c>
      <c r="N251" s="43">
        <v>5.12</v>
      </c>
      <c r="O251" s="43">
        <v>236.5</v>
      </c>
      <c r="P251" s="43">
        <v>37.8</v>
      </c>
      <c r="Q251" s="43">
        <v>74.47</v>
      </c>
      <c r="R251" s="43">
        <v>100.0</v>
      </c>
      <c r="S251" s="43">
        <v>100.0</v>
      </c>
      <c r="T251" s="13" t="s">
        <v>1808</v>
      </c>
    </row>
    <row r="252" ht="15.75" customHeight="1">
      <c r="A252" s="13" t="s">
        <v>1214</v>
      </c>
      <c r="B252" s="43">
        <v>50018.0</v>
      </c>
      <c r="C252" s="43">
        <v>11.0</v>
      </c>
      <c r="D252" s="13" t="s">
        <v>3956</v>
      </c>
      <c r="E252" s="43">
        <v>1.0</v>
      </c>
      <c r="F252" s="43">
        <v>10.0</v>
      </c>
      <c r="G252" s="43">
        <v>1.0</v>
      </c>
      <c r="H252" s="43">
        <v>1.0</v>
      </c>
      <c r="I252" s="43">
        <v>0.0</v>
      </c>
      <c r="J252" s="43">
        <v>27.0</v>
      </c>
      <c r="K252" s="43">
        <v>0.0</v>
      </c>
      <c r="L252" s="43">
        <v>50018.0</v>
      </c>
      <c r="M252" s="43">
        <v>79.95</v>
      </c>
      <c r="N252" s="43">
        <v>1.79</v>
      </c>
      <c r="O252" s="43">
        <v>134.57</v>
      </c>
      <c r="P252" s="43">
        <v>21.5</v>
      </c>
      <c r="Q252" s="43">
        <v>63.0</v>
      </c>
      <c r="R252" s="43">
        <v>0.0</v>
      </c>
      <c r="S252" s="43">
        <v>100.0</v>
      </c>
      <c r="T252" s="13" t="s">
        <v>1811</v>
      </c>
    </row>
    <row r="253" ht="15.75" customHeight="1">
      <c r="A253" s="13" t="s">
        <v>2047</v>
      </c>
      <c r="B253" s="43">
        <v>49326.0</v>
      </c>
      <c r="C253" s="43">
        <v>12.0</v>
      </c>
      <c r="D253" s="13" t="s">
        <v>3955</v>
      </c>
      <c r="E253" s="43">
        <v>1.0</v>
      </c>
      <c r="F253" s="43">
        <v>3.0</v>
      </c>
      <c r="G253" s="43">
        <v>3.0</v>
      </c>
      <c r="H253" s="43">
        <v>0.0</v>
      </c>
      <c r="I253" s="43">
        <v>0.0</v>
      </c>
      <c r="J253" s="43">
        <v>6.0</v>
      </c>
      <c r="K253" s="43">
        <v>9.0</v>
      </c>
      <c r="L253" s="43">
        <v>49326.0</v>
      </c>
      <c r="M253" s="43">
        <v>44.17</v>
      </c>
      <c r="N253" s="43">
        <v>10.05</v>
      </c>
      <c r="O253" s="43">
        <v>80.96</v>
      </c>
      <c r="P253" s="43">
        <v>13.0</v>
      </c>
      <c r="Q253" s="43">
        <v>43.04</v>
      </c>
      <c r="R253" s="43">
        <v>100.0</v>
      </c>
      <c r="S253" s="43">
        <v>100.0</v>
      </c>
      <c r="T253" s="13" t="s">
        <v>1808</v>
      </c>
    </row>
    <row r="254" ht="15.75" customHeight="1">
      <c r="A254" s="13" t="s">
        <v>2072</v>
      </c>
      <c r="B254" s="43">
        <v>42181.0</v>
      </c>
      <c r="C254" s="43">
        <v>11.0</v>
      </c>
      <c r="D254" s="13" t="s">
        <v>3956</v>
      </c>
      <c r="E254" s="43">
        <v>1.0</v>
      </c>
      <c r="F254" s="43">
        <v>5.0</v>
      </c>
      <c r="G254" s="43">
        <v>1.0</v>
      </c>
      <c r="H254" s="43">
        <v>0.0</v>
      </c>
      <c r="I254" s="43">
        <v>0.0</v>
      </c>
      <c r="J254" s="43">
        <v>2.0</v>
      </c>
      <c r="K254" s="43">
        <v>5.0</v>
      </c>
      <c r="L254" s="43">
        <v>42181.0</v>
      </c>
      <c r="M254" s="43">
        <v>48.57</v>
      </c>
      <c r="N254" s="43">
        <v>0.88</v>
      </c>
      <c r="O254" s="43">
        <v>118.88</v>
      </c>
      <c r="P254" s="43">
        <v>19.0</v>
      </c>
      <c r="Q254" s="43">
        <v>30.17</v>
      </c>
      <c r="R254" s="43">
        <v>0.0</v>
      </c>
      <c r="S254" s="43">
        <v>100.0</v>
      </c>
      <c r="T254" s="13" t="s">
        <v>1808</v>
      </c>
    </row>
    <row r="255" ht="15.75" customHeight="1">
      <c r="A255" s="13" t="s">
        <v>2074</v>
      </c>
      <c r="B255" s="43">
        <v>39182.0</v>
      </c>
      <c r="C255" s="43">
        <v>15.0</v>
      </c>
      <c r="D255" s="13" t="s">
        <v>3957</v>
      </c>
      <c r="E255" s="43">
        <v>1.0</v>
      </c>
      <c r="F255" s="43">
        <v>9.0</v>
      </c>
      <c r="G255" s="43">
        <v>2.0</v>
      </c>
      <c r="H255" s="43">
        <v>0.0</v>
      </c>
      <c r="I255" s="43">
        <v>0.0</v>
      </c>
      <c r="J255" s="43">
        <v>4.0</v>
      </c>
      <c r="K255" s="43">
        <v>5.0</v>
      </c>
      <c r="L255" s="43">
        <v>39182.0</v>
      </c>
      <c r="M255" s="43">
        <v>62.2</v>
      </c>
      <c r="N255" s="43">
        <v>2.81</v>
      </c>
      <c r="O255" s="43">
        <v>171.58</v>
      </c>
      <c r="P255" s="43">
        <v>27.5</v>
      </c>
      <c r="Q255" s="43">
        <v>91.58</v>
      </c>
      <c r="R255" s="43">
        <v>0.0</v>
      </c>
      <c r="S255" s="43">
        <v>100.0</v>
      </c>
      <c r="T255" s="13" t="s">
        <v>1808</v>
      </c>
    </row>
    <row r="256" ht="15.75" customHeight="1">
      <c r="A256" s="13" t="s">
        <v>1217</v>
      </c>
      <c r="B256" s="43">
        <v>38446.0</v>
      </c>
      <c r="C256" s="43">
        <v>23.0</v>
      </c>
      <c r="D256" s="13" t="s">
        <v>3957</v>
      </c>
      <c r="E256" s="43">
        <v>1.0</v>
      </c>
      <c r="F256" s="43">
        <v>9.0</v>
      </c>
      <c r="G256" s="43">
        <v>3.0</v>
      </c>
      <c r="H256" s="43">
        <v>1.0</v>
      </c>
      <c r="I256" s="43">
        <v>0.0</v>
      </c>
      <c r="J256" s="43">
        <v>33.0</v>
      </c>
      <c r="K256" s="43">
        <v>13.0</v>
      </c>
      <c r="L256" s="43">
        <v>38446.0</v>
      </c>
      <c r="M256" s="43">
        <v>89.07</v>
      </c>
      <c r="N256" s="43">
        <v>10.08</v>
      </c>
      <c r="O256" s="43">
        <v>169.62</v>
      </c>
      <c r="P256" s="43">
        <v>27.1</v>
      </c>
      <c r="Q256" s="43">
        <v>94.7</v>
      </c>
      <c r="R256" s="43">
        <v>0.0</v>
      </c>
      <c r="S256" s="43">
        <v>100.0</v>
      </c>
      <c r="T256" s="13" t="s">
        <v>1808</v>
      </c>
    </row>
    <row r="257" ht="15.75" customHeight="1">
      <c r="A257" s="13" t="s">
        <v>1209</v>
      </c>
      <c r="B257" s="43">
        <v>37437.0</v>
      </c>
      <c r="C257" s="43">
        <v>13.0</v>
      </c>
      <c r="D257" s="13" t="s">
        <v>3956</v>
      </c>
      <c r="E257" s="43">
        <v>1.0</v>
      </c>
      <c r="F257" s="43">
        <v>6.0</v>
      </c>
      <c r="G257" s="43">
        <v>2.0</v>
      </c>
      <c r="H257" s="43">
        <v>1.0</v>
      </c>
      <c r="I257" s="43">
        <v>0.0</v>
      </c>
      <c r="J257" s="43">
        <v>74.0</v>
      </c>
      <c r="K257" s="43">
        <v>6.0</v>
      </c>
      <c r="L257" s="43">
        <v>37437.0</v>
      </c>
      <c r="M257" s="43">
        <v>62.36</v>
      </c>
      <c r="N257" s="43">
        <v>2.39</v>
      </c>
      <c r="O257" s="43">
        <v>218.57</v>
      </c>
      <c r="P257" s="43">
        <v>35.0</v>
      </c>
      <c r="Q257" s="43">
        <v>83.06</v>
      </c>
      <c r="R257" s="43">
        <v>0.0</v>
      </c>
      <c r="S257" s="43">
        <v>100.0</v>
      </c>
      <c r="T257" s="13" t="s">
        <v>1808</v>
      </c>
    </row>
    <row r="258" ht="15.75" customHeight="1">
      <c r="A258" s="13" t="s">
        <v>2089</v>
      </c>
      <c r="B258" s="43">
        <v>35274.0</v>
      </c>
      <c r="C258" s="43">
        <v>10.0</v>
      </c>
      <c r="D258" s="13" t="s">
        <v>3956</v>
      </c>
      <c r="E258" s="43">
        <v>1.0</v>
      </c>
      <c r="F258" s="43">
        <v>3.0</v>
      </c>
      <c r="G258" s="43">
        <v>3.0</v>
      </c>
      <c r="H258" s="43">
        <v>0.0</v>
      </c>
      <c r="I258" s="43">
        <v>0.0</v>
      </c>
      <c r="J258" s="43">
        <v>7.0</v>
      </c>
      <c r="K258" s="43">
        <v>5.0</v>
      </c>
      <c r="L258" s="43">
        <v>35274.0</v>
      </c>
      <c r="M258" s="43">
        <v>52.03</v>
      </c>
      <c r="N258" s="43">
        <v>0.47</v>
      </c>
      <c r="O258" s="43">
        <v>176.88</v>
      </c>
      <c r="P258" s="43">
        <v>28.3</v>
      </c>
      <c r="Q258" s="43">
        <v>72.41</v>
      </c>
      <c r="R258" s="43">
        <v>0.0</v>
      </c>
      <c r="S258" s="43">
        <v>100.0</v>
      </c>
      <c r="T258" s="13" t="s">
        <v>1808</v>
      </c>
    </row>
    <row r="259" ht="15.75" customHeight="1">
      <c r="A259" s="13" t="s">
        <v>1223</v>
      </c>
      <c r="B259" s="43">
        <v>35243.0</v>
      </c>
      <c r="C259" s="43">
        <v>7.0</v>
      </c>
      <c r="D259" s="13" t="s">
        <v>3958</v>
      </c>
      <c r="E259" s="43">
        <v>1.0</v>
      </c>
      <c r="F259" s="43">
        <v>5.0</v>
      </c>
      <c r="G259" s="43">
        <v>2.0</v>
      </c>
      <c r="H259" s="43">
        <v>0.0</v>
      </c>
      <c r="I259" s="43">
        <v>1.0</v>
      </c>
      <c r="J259" s="43">
        <v>39.0</v>
      </c>
      <c r="K259" s="43">
        <v>1.0</v>
      </c>
      <c r="L259" s="43">
        <v>35243.0</v>
      </c>
      <c r="M259" s="43">
        <v>63.68</v>
      </c>
      <c r="N259" s="43">
        <v>0.61</v>
      </c>
      <c r="O259" s="43">
        <v>111.43</v>
      </c>
      <c r="P259" s="43">
        <v>17.8</v>
      </c>
      <c r="Q259" s="43">
        <v>63.38</v>
      </c>
      <c r="R259" s="43">
        <v>100.0</v>
      </c>
      <c r="S259" s="43">
        <v>100.0</v>
      </c>
      <c r="T259" s="13" t="s">
        <v>1808</v>
      </c>
    </row>
    <row r="260" ht="15.75" customHeight="1">
      <c r="A260" s="13" t="s">
        <v>2102</v>
      </c>
      <c r="B260" s="43">
        <v>33710.0</v>
      </c>
      <c r="C260" s="43">
        <v>19.0</v>
      </c>
      <c r="D260" s="13" t="s">
        <v>3956</v>
      </c>
      <c r="E260" s="43">
        <v>1.0</v>
      </c>
      <c r="F260" s="43">
        <v>18.0</v>
      </c>
      <c r="G260" s="43">
        <v>7.0</v>
      </c>
      <c r="H260" s="43">
        <v>0.0</v>
      </c>
      <c r="I260" s="43">
        <v>0.0</v>
      </c>
      <c r="J260" s="43">
        <v>21.0</v>
      </c>
      <c r="K260" s="43">
        <v>0.0</v>
      </c>
      <c r="L260" s="43">
        <v>33710.0</v>
      </c>
      <c r="M260" s="43">
        <v>62.71</v>
      </c>
      <c r="N260" s="43">
        <v>4.27</v>
      </c>
      <c r="O260" s="43">
        <v>210.42</v>
      </c>
      <c r="P260" s="43">
        <v>33.7</v>
      </c>
      <c r="Q260" s="43">
        <v>82.52</v>
      </c>
      <c r="R260" s="43">
        <v>0.0</v>
      </c>
      <c r="S260" s="43">
        <v>0.0</v>
      </c>
      <c r="T260" s="13" t="s">
        <v>1811</v>
      </c>
    </row>
    <row r="261" ht="15.75" customHeight="1">
      <c r="A261" s="13" t="s">
        <v>1235</v>
      </c>
      <c r="B261" s="43">
        <v>33374.0</v>
      </c>
      <c r="C261" s="43">
        <v>8.0</v>
      </c>
      <c r="D261" s="13" t="s">
        <v>3958</v>
      </c>
      <c r="E261" s="43">
        <v>1.0</v>
      </c>
      <c r="F261" s="43">
        <v>6.0</v>
      </c>
      <c r="G261" s="43">
        <v>8.0</v>
      </c>
      <c r="H261" s="43">
        <v>0.0</v>
      </c>
      <c r="I261" s="43">
        <v>1.0</v>
      </c>
      <c r="J261" s="43">
        <v>27.0</v>
      </c>
      <c r="K261" s="43">
        <v>0.0</v>
      </c>
      <c r="L261" s="43">
        <v>33374.0</v>
      </c>
      <c r="M261" s="43">
        <v>37.41</v>
      </c>
      <c r="N261" s="43">
        <v>11.16</v>
      </c>
      <c r="O261" s="43">
        <v>191.8</v>
      </c>
      <c r="P261" s="43">
        <v>30.7</v>
      </c>
      <c r="Q261" s="43">
        <v>74.93</v>
      </c>
      <c r="R261" s="43">
        <v>0.0</v>
      </c>
      <c r="S261" s="43">
        <v>100.0</v>
      </c>
      <c r="T261" s="13" t="s">
        <v>1808</v>
      </c>
    </row>
    <row r="262" ht="15.75" customHeight="1">
      <c r="A262" s="13" t="s">
        <v>2126</v>
      </c>
      <c r="B262" s="43">
        <v>32831.0</v>
      </c>
      <c r="C262" s="43">
        <v>14.0</v>
      </c>
      <c r="D262" s="13" t="s">
        <v>3958</v>
      </c>
      <c r="E262" s="43">
        <v>1.0</v>
      </c>
      <c r="F262" s="43">
        <v>6.0</v>
      </c>
      <c r="G262" s="43">
        <v>1.0</v>
      </c>
      <c r="H262" s="43">
        <v>0.0</v>
      </c>
      <c r="I262" s="43">
        <v>0.0</v>
      </c>
      <c r="J262" s="43">
        <v>2.0</v>
      </c>
      <c r="K262" s="43">
        <v>7.0</v>
      </c>
      <c r="L262" s="43">
        <v>32831.0</v>
      </c>
      <c r="M262" s="43">
        <v>45.16</v>
      </c>
      <c r="N262" s="43">
        <v>4.0</v>
      </c>
      <c r="O262" s="43">
        <v>102.19</v>
      </c>
      <c r="P262" s="43">
        <v>16.4</v>
      </c>
      <c r="Q262" s="43">
        <v>33.38</v>
      </c>
      <c r="R262" s="43">
        <v>0.0</v>
      </c>
      <c r="S262" s="43">
        <v>100.0</v>
      </c>
      <c r="T262" s="13" t="s">
        <v>1808</v>
      </c>
    </row>
    <row r="263" ht="15.75" customHeight="1">
      <c r="A263" s="13" t="s">
        <v>2132</v>
      </c>
      <c r="B263" s="43">
        <v>31560.0</v>
      </c>
      <c r="C263" s="43">
        <v>11.0</v>
      </c>
      <c r="D263" s="13" t="s">
        <v>3956</v>
      </c>
      <c r="E263" s="43">
        <v>1.0</v>
      </c>
      <c r="F263" s="43">
        <v>3.0</v>
      </c>
      <c r="G263" s="43">
        <v>3.0</v>
      </c>
      <c r="H263" s="43">
        <v>0.0</v>
      </c>
      <c r="I263" s="43">
        <v>0.0</v>
      </c>
      <c r="J263" s="43">
        <v>6.0</v>
      </c>
      <c r="K263" s="43">
        <v>6.0</v>
      </c>
      <c r="L263" s="43">
        <v>31560.0</v>
      </c>
      <c r="M263" s="43">
        <v>63.09</v>
      </c>
      <c r="N263" s="43">
        <v>4.62</v>
      </c>
      <c r="O263" s="43">
        <v>235.02</v>
      </c>
      <c r="P263" s="43">
        <v>37.6</v>
      </c>
      <c r="Q263" s="43">
        <v>73.79</v>
      </c>
      <c r="R263" s="43">
        <v>0.0</v>
      </c>
      <c r="S263" s="43">
        <v>0.0</v>
      </c>
      <c r="T263" s="13" t="s">
        <v>1808</v>
      </c>
    </row>
    <row r="264" ht="15.75" customHeight="1">
      <c r="A264" s="13" t="s">
        <v>2142</v>
      </c>
      <c r="B264" s="43">
        <v>31329.0</v>
      </c>
      <c r="C264" s="43">
        <v>11.0</v>
      </c>
      <c r="D264" s="13" t="s">
        <v>3958</v>
      </c>
      <c r="E264" s="43">
        <v>1.0</v>
      </c>
      <c r="F264" s="43">
        <v>4.0</v>
      </c>
      <c r="G264" s="43">
        <v>5.0</v>
      </c>
      <c r="H264" s="43">
        <v>0.0</v>
      </c>
      <c r="I264" s="43">
        <v>0.0</v>
      </c>
      <c r="J264" s="43">
        <v>14.0</v>
      </c>
      <c r="K264" s="43">
        <v>6.0</v>
      </c>
      <c r="L264" s="43">
        <v>31329.0</v>
      </c>
      <c r="M264" s="43">
        <v>55.51</v>
      </c>
      <c r="N264" s="43">
        <v>1.78</v>
      </c>
      <c r="O264" s="43">
        <v>160.73</v>
      </c>
      <c r="P264" s="43">
        <v>25.7</v>
      </c>
      <c r="Q264" s="43">
        <v>20.14</v>
      </c>
      <c r="R264" s="43">
        <v>0.0</v>
      </c>
      <c r="S264" s="43">
        <v>100.0</v>
      </c>
      <c r="T264" s="13" t="s">
        <v>1808</v>
      </c>
    </row>
    <row r="265" ht="15.75" customHeight="1">
      <c r="A265" s="13" t="s">
        <v>1227</v>
      </c>
      <c r="B265" s="43">
        <v>31063.0</v>
      </c>
      <c r="C265" s="43">
        <v>16.0</v>
      </c>
      <c r="D265" s="13" t="s">
        <v>3956</v>
      </c>
      <c r="E265" s="43">
        <v>1.0</v>
      </c>
      <c r="F265" s="43">
        <v>5.0</v>
      </c>
      <c r="G265" s="43">
        <v>1.0</v>
      </c>
      <c r="H265" s="43">
        <v>0.0</v>
      </c>
      <c r="I265" s="43">
        <v>1.0</v>
      </c>
      <c r="J265" s="43">
        <v>14.0</v>
      </c>
      <c r="K265" s="43">
        <v>10.0</v>
      </c>
      <c r="L265" s="43">
        <v>31063.0</v>
      </c>
      <c r="M265" s="43">
        <v>68.15</v>
      </c>
      <c r="N265" s="43">
        <v>0.42</v>
      </c>
      <c r="O265" s="43">
        <v>293.7</v>
      </c>
      <c r="P265" s="43">
        <v>47.0</v>
      </c>
      <c r="Q265" s="43">
        <v>58.1</v>
      </c>
      <c r="R265" s="43">
        <v>0.0</v>
      </c>
      <c r="S265" s="43">
        <v>100.0</v>
      </c>
      <c r="T265" s="13" t="s">
        <v>1808</v>
      </c>
    </row>
    <row r="266" ht="15.75" customHeight="1">
      <c r="A266" s="13" t="s">
        <v>2199</v>
      </c>
      <c r="B266" s="43">
        <v>29707.0</v>
      </c>
      <c r="C266" s="43">
        <v>16.0</v>
      </c>
      <c r="D266" s="13" t="s">
        <v>3958</v>
      </c>
      <c r="E266" s="43">
        <v>1.0</v>
      </c>
      <c r="F266" s="43">
        <v>7.0</v>
      </c>
      <c r="G266" s="43">
        <v>3.0</v>
      </c>
      <c r="H266" s="43">
        <v>0.0</v>
      </c>
      <c r="I266" s="43">
        <v>0.0</v>
      </c>
      <c r="J266" s="43">
        <v>7.0</v>
      </c>
      <c r="K266" s="43">
        <v>7.0</v>
      </c>
      <c r="L266" s="43">
        <v>29707.0</v>
      </c>
      <c r="M266" s="43">
        <v>28.62</v>
      </c>
      <c r="N266" s="43">
        <v>2.94</v>
      </c>
      <c r="O266" s="43">
        <v>123.39</v>
      </c>
      <c r="P266" s="43">
        <v>19.7</v>
      </c>
      <c r="Q266" s="43">
        <v>39.13</v>
      </c>
      <c r="R266" s="43">
        <v>0.0</v>
      </c>
      <c r="S266" s="43">
        <v>100.0</v>
      </c>
      <c r="T266" s="13" t="s">
        <v>1811</v>
      </c>
    </row>
    <row r="267" ht="15.75" customHeight="1">
      <c r="A267" s="13" t="s">
        <v>2207</v>
      </c>
      <c r="B267" s="43">
        <v>29244.0</v>
      </c>
      <c r="C267" s="43">
        <v>8.0</v>
      </c>
      <c r="D267" s="13" t="s">
        <v>3958</v>
      </c>
      <c r="E267" s="43">
        <v>1.0</v>
      </c>
      <c r="F267" s="43">
        <v>4.0</v>
      </c>
      <c r="G267" s="43">
        <v>2.0</v>
      </c>
      <c r="H267" s="43">
        <v>0.0</v>
      </c>
      <c r="I267" s="43">
        <v>0.0</v>
      </c>
      <c r="J267" s="43">
        <v>4.0</v>
      </c>
      <c r="K267" s="43">
        <v>3.0</v>
      </c>
      <c r="L267" s="43">
        <v>29244.0</v>
      </c>
      <c r="M267" s="43">
        <v>55.41</v>
      </c>
      <c r="N267" s="43">
        <v>7.34</v>
      </c>
      <c r="O267" s="43">
        <v>80.91</v>
      </c>
      <c r="P267" s="43">
        <v>12.9</v>
      </c>
      <c r="Q267" s="43">
        <v>75.51</v>
      </c>
      <c r="R267" s="43">
        <v>0.0</v>
      </c>
      <c r="S267" s="43">
        <v>0.0</v>
      </c>
      <c r="T267" s="13" t="s">
        <v>1808</v>
      </c>
    </row>
    <row r="268" ht="15.75" customHeight="1">
      <c r="A268" s="13" t="s">
        <v>2212</v>
      </c>
      <c r="B268" s="43">
        <v>28511.0</v>
      </c>
      <c r="C268" s="43">
        <v>8.0</v>
      </c>
      <c r="D268" s="13" t="s">
        <v>3957</v>
      </c>
      <c r="E268" s="43">
        <v>1.0</v>
      </c>
      <c r="F268" s="43">
        <v>1.0</v>
      </c>
      <c r="G268" s="43">
        <v>1.0</v>
      </c>
      <c r="H268" s="43">
        <v>0.0</v>
      </c>
      <c r="I268" s="43">
        <v>0.0</v>
      </c>
      <c r="J268" s="43">
        <v>2.0</v>
      </c>
      <c r="K268" s="43">
        <v>6.0</v>
      </c>
      <c r="L268" s="43">
        <v>28511.0</v>
      </c>
      <c r="M268" s="43">
        <v>58.24</v>
      </c>
      <c r="N268" s="43">
        <v>2.7</v>
      </c>
      <c r="O268" s="43">
        <v>128.17</v>
      </c>
      <c r="P268" s="43">
        <v>20.5</v>
      </c>
      <c r="Q268" s="43">
        <v>53.3</v>
      </c>
      <c r="R268" s="43">
        <v>100.0</v>
      </c>
      <c r="S268" s="43">
        <v>100.0</v>
      </c>
      <c r="T268" s="13" t="s">
        <v>1808</v>
      </c>
    </row>
    <row r="269" ht="15.75" customHeight="1">
      <c r="A269" s="13" t="s">
        <v>1212</v>
      </c>
      <c r="B269" s="43">
        <v>28471.0</v>
      </c>
      <c r="C269" s="43">
        <v>11.0</v>
      </c>
      <c r="D269" s="13" t="s">
        <v>3958</v>
      </c>
      <c r="E269" s="43">
        <v>1.0</v>
      </c>
      <c r="F269" s="43">
        <v>3.0</v>
      </c>
      <c r="G269" s="43">
        <v>1.0</v>
      </c>
      <c r="H269" s="43">
        <v>1.0</v>
      </c>
      <c r="I269" s="43">
        <v>0.0</v>
      </c>
      <c r="J269" s="43">
        <v>27.0</v>
      </c>
      <c r="K269" s="43">
        <v>7.0</v>
      </c>
      <c r="L269" s="43">
        <v>28471.0</v>
      </c>
      <c r="M269" s="43">
        <v>83.16</v>
      </c>
      <c r="N269" s="43">
        <v>4.02</v>
      </c>
      <c r="O269" s="43">
        <v>216.38</v>
      </c>
      <c r="P269" s="43">
        <v>34.6</v>
      </c>
      <c r="Q269" s="43">
        <v>81.08</v>
      </c>
      <c r="R269" s="43">
        <v>0.0</v>
      </c>
      <c r="S269" s="43">
        <v>100.0</v>
      </c>
      <c r="T269" s="13" t="s">
        <v>1808</v>
      </c>
    </row>
    <row r="270" ht="15.75" customHeight="1">
      <c r="A270" s="13" t="s">
        <v>1230</v>
      </c>
      <c r="B270" s="43">
        <v>27929.0</v>
      </c>
      <c r="C270" s="43">
        <v>12.0</v>
      </c>
      <c r="D270" s="13" t="s">
        <v>3957</v>
      </c>
      <c r="E270" s="43">
        <v>1.0</v>
      </c>
      <c r="F270" s="43">
        <v>8.0</v>
      </c>
      <c r="G270" s="43">
        <v>3.0</v>
      </c>
      <c r="H270" s="43">
        <v>0.0</v>
      </c>
      <c r="I270" s="43">
        <v>1.0</v>
      </c>
      <c r="J270" s="43">
        <v>22.0</v>
      </c>
      <c r="K270" s="43">
        <v>2.0</v>
      </c>
      <c r="L270" s="43">
        <v>27929.0</v>
      </c>
      <c r="M270" s="43">
        <v>36.47</v>
      </c>
      <c r="N270" s="43">
        <v>4.51</v>
      </c>
      <c r="O270" s="43">
        <v>244.85</v>
      </c>
      <c r="P270" s="43">
        <v>39.2</v>
      </c>
      <c r="Q270" s="43">
        <v>30.03</v>
      </c>
      <c r="R270" s="43">
        <v>100.0</v>
      </c>
      <c r="S270" s="43">
        <v>100.0</v>
      </c>
      <c r="T270" s="13" t="s">
        <v>1808</v>
      </c>
    </row>
    <row r="271" ht="15.75" customHeight="1">
      <c r="A271" s="13" t="s">
        <v>1203</v>
      </c>
      <c r="B271" s="43">
        <v>27678.0</v>
      </c>
      <c r="C271" s="43">
        <v>11.0</v>
      </c>
      <c r="D271" s="13" t="s">
        <v>3958</v>
      </c>
      <c r="E271" s="43">
        <v>1.0</v>
      </c>
      <c r="F271" s="43">
        <v>5.0</v>
      </c>
      <c r="G271" s="43">
        <v>1.0</v>
      </c>
      <c r="H271" s="43">
        <v>1.0</v>
      </c>
      <c r="I271" s="43">
        <v>0.0</v>
      </c>
      <c r="J271" s="43">
        <v>301.0</v>
      </c>
      <c r="K271" s="43">
        <v>5.0</v>
      </c>
      <c r="L271" s="43">
        <v>27678.0</v>
      </c>
      <c r="M271" s="43">
        <v>24.43</v>
      </c>
      <c r="N271" s="43">
        <v>2.05</v>
      </c>
      <c r="O271" s="43">
        <v>64.17</v>
      </c>
      <c r="P271" s="43">
        <v>10.3</v>
      </c>
      <c r="Q271" s="43">
        <v>36.08</v>
      </c>
      <c r="R271" s="43">
        <v>0.0</v>
      </c>
      <c r="S271" s="43">
        <v>100.0</v>
      </c>
      <c r="T271" s="13" t="s">
        <v>1808</v>
      </c>
    </row>
    <row r="272" ht="15.75" customHeight="1">
      <c r="A272" s="13" t="s">
        <v>2356</v>
      </c>
      <c r="B272" s="43">
        <v>21317.0</v>
      </c>
      <c r="C272" s="43">
        <v>8.0</v>
      </c>
      <c r="D272" s="13" t="s">
        <v>3958</v>
      </c>
      <c r="E272" s="43">
        <v>1.0</v>
      </c>
      <c r="F272" s="43">
        <v>3.0</v>
      </c>
      <c r="G272" s="43">
        <v>2.0</v>
      </c>
      <c r="H272" s="43">
        <v>0.0</v>
      </c>
      <c r="I272" s="43">
        <v>0.0</v>
      </c>
      <c r="J272" s="43">
        <v>4.0</v>
      </c>
      <c r="K272" s="43">
        <v>4.0</v>
      </c>
      <c r="L272" s="43">
        <v>21317.0</v>
      </c>
      <c r="M272" s="43">
        <v>56.81</v>
      </c>
      <c r="N272" s="43">
        <v>4.13</v>
      </c>
      <c r="O272" s="43">
        <v>191.02</v>
      </c>
      <c r="P272" s="43">
        <v>30.6</v>
      </c>
      <c r="Q272" s="43">
        <v>72.82</v>
      </c>
      <c r="R272" s="43">
        <v>100.0</v>
      </c>
      <c r="S272" s="43">
        <v>100.0</v>
      </c>
      <c r="T272" s="13" t="s">
        <v>1808</v>
      </c>
    </row>
    <row r="273" ht="15.75" customHeight="1">
      <c r="A273" s="13" t="s">
        <v>2371</v>
      </c>
      <c r="B273" s="43">
        <v>21295.0</v>
      </c>
      <c r="C273" s="43">
        <v>17.0</v>
      </c>
      <c r="D273" s="13" t="s">
        <v>3958</v>
      </c>
      <c r="E273" s="43">
        <v>1.0</v>
      </c>
      <c r="F273" s="43">
        <v>1.0</v>
      </c>
      <c r="G273" s="43">
        <v>0.0</v>
      </c>
      <c r="H273" s="43">
        <v>0.0</v>
      </c>
      <c r="I273" s="43">
        <v>0.0</v>
      </c>
      <c r="J273" s="43">
        <v>0.0</v>
      </c>
      <c r="K273" s="43">
        <v>16.0</v>
      </c>
      <c r="L273" s="43">
        <v>21295.0</v>
      </c>
      <c r="M273" s="43">
        <v>75.95</v>
      </c>
      <c r="N273" s="43">
        <v>5.57</v>
      </c>
      <c r="O273" s="43">
        <v>135.65</v>
      </c>
      <c r="P273" s="43">
        <v>21.7</v>
      </c>
      <c r="Q273" s="43">
        <v>37.44</v>
      </c>
      <c r="R273" s="43">
        <v>0.0</v>
      </c>
      <c r="S273" s="43">
        <v>0.0</v>
      </c>
      <c r="T273" s="13" t="s">
        <v>1808</v>
      </c>
    </row>
    <row r="274" ht="15.75" customHeight="1">
      <c r="A274" s="13" t="s">
        <v>2385</v>
      </c>
      <c r="B274" s="43">
        <v>17186.0</v>
      </c>
      <c r="C274" s="43">
        <v>8.0</v>
      </c>
      <c r="D274" s="13" t="s">
        <v>3958</v>
      </c>
      <c r="E274" s="43">
        <v>1.0</v>
      </c>
      <c r="F274" s="43">
        <v>2.0</v>
      </c>
      <c r="G274" s="43">
        <v>1.0</v>
      </c>
      <c r="H274" s="43">
        <v>0.0</v>
      </c>
      <c r="I274" s="43">
        <v>0.0</v>
      </c>
      <c r="J274" s="43">
        <v>2.0</v>
      </c>
      <c r="K274" s="43">
        <v>5.0</v>
      </c>
      <c r="L274" s="43">
        <v>17186.0</v>
      </c>
      <c r="M274" s="43">
        <v>78.06</v>
      </c>
      <c r="N274" s="43">
        <v>1.27</v>
      </c>
      <c r="O274" s="43">
        <v>121.57</v>
      </c>
      <c r="P274" s="43">
        <v>19.5</v>
      </c>
      <c r="Q274" s="43">
        <v>27.86</v>
      </c>
      <c r="R274" s="43">
        <v>0.0</v>
      </c>
      <c r="S274" s="43">
        <v>100.0</v>
      </c>
      <c r="T274" s="13" t="s">
        <v>1808</v>
      </c>
    </row>
    <row r="275" ht="15.75" customHeight="1">
      <c r="A275" s="13" t="s">
        <v>1829</v>
      </c>
      <c r="B275" s="43">
        <v>813243.0</v>
      </c>
      <c r="C275" s="43">
        <v>287.0</v>
      </c>
      <c r="D275" s="13" t="s">
        <v>3955</v>
      </c>
      <c r="E275" s="43">
        <v>24.0</v>
      </c>
      <c r="F275" s="43">
        <v>128.0</v>
      </c>
      <c r="G275" s="43">
        <v>57.0</v>
      </c>
      <c r="H275" s="43">
        <v>6.0</v>
      </c>
      <c r="I275" s="43">
        <v>6.0</v>
      </c>
      <c r="J275" s="43">
        <v>784.0</v>
      </c>
      <c r="K275" s="43">
        <v>132.0</v>
      </c>
      <c r="L275" s="43">
        <v>33885.0</v>
      </c>
      <c r="M275" s="43">
        <v>58.1</v>
      </c>
      <c r="N275" s="43">
        <v>3.96</v>
      </c>
      <c r="O275" s="43">
        <v>163.29</v>
      </c>
      <c r="P275" s="43">
        <v>26.3</v>
      </c>
      <c r="Q275" s="43">
        <v>58.83</v>
      </c>
      <c r="R275" s="13" t="s">
        <v>3959</v>
      </c>
      <c r="S275" s="13" t="s">
        <v>3960</v>
      </c>
      <c r="T275" s="13" t="s">
        <v>749</v>
      </c>
    </row>
    <row r="276" ht="15.75" customHeight="1"/>
    <row r="277" ht="15.75" customHeight="1"/>
    <row r="278" ht="15.75" customHeight="1">
      <c r="A278" s="25" t="s">
        <v>3961</v>
      </c>
      <c r="B278" s="26"/>
      <c r="C278" s="26"/>
      <c r="D278" s="26"/>
      <c r="E278" s="26"/>
      <c r="F278" s="26"/>
    </row>
    <row r="279" ht="15.75" customHeight="1">
      <c r="A279" s="27" t="s">
        <v>3962</v>
      </c>
      <c r="B279" s="26"/>
      <c r="C279" s="26"/>
      <c r="D279" s="26"/>
      <c r="E279" s="26"/>
      <c r="F279" s="26"/>
    </row>
    <row r="280" ht="15.75" customHeight="1">
      <c r="A280" s="41" t="s">
        <v>1721</v>
      </c>
      <c r="B280" s="41" t="s">
        <v>1817</v>
      </c>
      <c r="C280" s="41" t="s">
        <v>3963</v>
      </c>
      <c r="D280" s="41" t="s">
        <v>3964</v>
      </c>
      <c r="E280" s="41" t="s">
        <v>3965</v>
      </c>
      <c r="F280" s="41" t="s">
        <v>2261</v>
      </c>
    </row>
    <row r="281" ht="15.75" customHeight="1">
      <c r="A281" s="13" t="s">
        <v>3966</v>
      </c>
      <c r="B281" s="13" t="s">
        <v>3967</v>
      </c>
      <c r="C281" s="13" t="s">
        <v>1808</v>
      </c>
      <c r="D281" s="13" t="s">
        <v>1808</v>
      </c>
      <c r="E281" s="13" t="s">
        <v>1808</v>
      </c>
      <c r="F281" s="13" t="s">
        <v>3968</v>
      </c>
    </row>
    <row r="282" ht="15.75" customHeight="1">
      <c r="A282" s="13" t="s">
        <v>3969</v>
      </c>
      <c r="B282" s="13" t="s">
        <v>3970</v>
      </c>
      <c r="C282" s="13" t="s">
        <v>1808</v>
      </c>
      <c r="D282" s="13" t="s">
        <v>1808</v>
      </c>
      <c r="E282" s="13" t="s">
        <v>1811</v>
      </c>
      <c r="F282" s="13" t="s">
        <v>3971</v>
      </c>
    </row>
    <row r="283" ht="15.75" customHeight="1">
      <c r="A283" s="13" t="s">
        <v>3972</v>
      </c>
      <c r="B283" s="13" t="s">
        <v>3973</v>
      </c>
      <c r="C283" s="13" t="s">
        <v>1808</v>
      </c>
      <c r="D283" s="13" t="s">
        <v>1811</v>
      </c>
      <c r="E283" s="13" t="s">
        <v>1808</v>
      </c>
      <c r="F283" s="13" t="s">
        <v>3974</v>
      </c>
    </row>
    <row r="284" ht="15.75" customHeight="1"/>
    <row r="285" ht="15.75" customHeight="1"/>
    <row r="286" ht="15.75" customHeight="1">
      <c r="A286" s="25" t="s">
        <v>3975</v>
      </c>
      <c r="B286" s="26"/>
      <c r="C286" s="26"/>
      <c r="D286" s="26"/>
    </row>
    <row r="287" ht="15.75" customHeight="1">
      <c r="A287" s="27" t="s">
        <v>3976</v>
      </c>
      <c r="B287" s="26"/>
      <c r="C287" s="26"/>
      <c r="D287" s="26"/>
    </row>
    <row r="288" ht="15.75" customHeight="1">
      <c r="A288" s="41" t="s">
        <v>2693</v>
      </c>
      <c r="B288" s="41" t="s">
        <v>3457</v>
      </c>
      <c r="C288" s="41" t="s">
        <v>1508</v>
      </c>
      <c r="D288" s="41" t="s">
        <v>3977</v>
      </c>
    </row>
    <row r="289" ht="15.75" customHeight="1">
      <c r="A289" s="43">
        <v>1.0</v>
      </c>
      <c r="B289" s="13" t="s">
        <v>3978</v>
      </c>
      <c r="C289" s="13" t="s">
        <v>3979</v>
      </c>
      <c r="D289" s="13" t="s">
        <v>3980</v>
      </c>
    </row>
    <row r="290" ht="15.75" customHeight="1">
      <c r="A290" s="43">
        <v>2.0</v>
      </c>
      <c r="B290" s="13" t="s">
        <v>3981</v>
      </c>
      <c r="C290" s="13" t="s">
        <v>3982</v>
      </c>
      <c r="D290" s="13" t="s">
        <v>3983</v>
      </c>
    </row>
    <row r="291" ht="15.75" customHeight="1">
      <c r="A291" s="43">
        <v>3.0</v>
      </c>
      <c r="B291" s="13" t="s">
        <v>3984</v>
      </c>
      <c r="C291" s="13" t="s">
        <v>3985</v>
      </c>
      <c r="D291" s="13" t="s">
        <v>3986</v>
      </c>
    </row>
    <row r="292" ht="15.75" customHeight="1">
      <c r="A292" s="43">
        <v>4.0</v>
      </c>
      <c r="B292" s="13" t="s">
        <v>3987</v>
      </c>
      <c r="C292" s="13" t="s">
        <v>3988</v>
      </c>
      <c r="D292" s="13" t="s">
        <v>3989</v>
      </c>
    </row>
    <row r="293" ht="15.75" customHeight="1">
      <c r="A293" s="43">
        <v>5.0</v>
      </c>
      <c r="B293" s="13" t="s">
        <v>3990</v>
      </c>
      <c r="C293" s="13" t="s">
        <v>3991</v>
      </c>
      <c r="D293" s="13" t="s">
        <v>3992</v>
      </c>
    </row>
    <row r="294" ht="15.75" customHeight="1">
      <c r="A294" s="43">
        <v>6.0</v>
      </c>
      <c r="B294" s="13" t="s">
        <v>3993</v>
      </c>
      <c r="C294" s="13" t="s">
        <v>3994</v>
      </c>
      <c r="D294" s="13" t="s">
        <v>3995</v>
      </c>
    </row>
    <row r="295" ht="15.75" customHeight="1">
      <c r="A295" s="43">
        <v>7.0</v>
      </c>
      <c r="B295" s="13" t="s">
        <v>3996</v>
      </c>
      <c r="C295" s="13" t="s">
        <v>3997</v>
      </c>
      <c r="D295" s="13" t="s">
        <v>3998</v>
      </c>
    </row>
    <row r="296" ht="15.75" customHeight="1">
      <c r="A296" s="43">
        <v>8.0</v>
      </c>
      <c r="B296" s="13" t="s">
        <v>3999</v>
      </c>
      <c r="C296" s="13" t="s">
        <v>4000</v>
      </c>
      <c r="D296" s="13" t="s">
        <v>4001</v>
      </c>
    </row>
    <row r="297" ht="15.75" customHeight="1">
      <c r="A297" s="43">
        <v>9.0</v>
      </c>
      <c r="B297" s="13" t="s">
        <v>4002</v>
      </c>
      <c r="C297" s="13" t="s">
        <v>4003</v>
      </c>
      <c r="D297" s="13" t="s">
        <v>4004</v>
      </c>
    </row>
    <row r="298" ht="15.75" customHeight="1">
      <c r="A298" s="43">
        <v>10.0</v>
      </c>
      <c r="B298" s="13" t="s">
        <v>4005</v>
      </c>
      <c r="C298" s="13" t="s">
        <v>4006</v>
      </c>
      <c r="D298" s="13" t="s">
        <v>4007</v>
      </c>
    </row>
    <row r="299" ht="15.75" customHeight="1">
      <c r="A299" s="43">
        <v>11.0</v>
      </c>
      <c r="B299" s="13" t="s">
        <v>4008</v>
      </c>
      <c r="C299" s="13" t="s">
        <v>4009</v>
      </c>
      <c r="D299" s="13" t="s">
        <v>4010</v>
      </c>
    </row>
    <row r="300" ht="15.75" customHeight="1">
      <c r="A300" s="43">
        <v>12.0</v>
      </c>
      <c r="B300" s="13" t="s">
        <v>4011</v>
      </c>
      <c r="C300" s="13" t="s">
        <v>4012</v>
      </c>
      <c r="D300" s="13" t="s">
        <v>4013</v>
      </c>
    </row>
    <row r="301" ht="15.75" customHeight="1">
      <c r="A301" s="43">
        <v>13.0</v>
      </c>
      <c r="B301" s="13" t="s">
        <v>4014</v>
      </c>
      <c r="C301" s="13" t="s">
        <v>4015</v>
      </c>
      <c r="D301" s="13" t="s">
        <v>4016</v>
      </c>
    </row>
    <row r="302" ht="15.75" customHeight="1">
      <c r="A302" s="43">
        <v>14.0</v>
      </c>
      <c r="B302" s="13" t="s">
        <v>4017</v>
      </c>
      <c r="C302" s="13" t="s">
        <v>4018</v>
      </c>
      <c r="D302" s="13" t="s">
        <v>4019</v>
      </c>
    </row>
    <row r="303" ht="15.75" customHeight="1">
      <c r="A303" s="43">
        <v>15.0</v>
      </c>
      <c r="B303" s="13" t="s">
        <v>4020</v>
      </c>
      <c r="C303" s="13" t="s">
        <v>4021</v>
      </c>
      <c r="D303" s="13" t="s">
        <v>4022</v>
      </c>
    </row>
    <row r="304" ht="15.75" customHeight="1">
      <c r="A304" s="43">
        <v>16.0</v>
      </c>
      <c r="B304" s="13" t="s">
        <v>4023</v>
      </c>
      <c r="C304" s="13" t="s">
        <v>4024</v>
      </c>
      <c r="D304" s="13" t="s">
        <v>4025</v>
      </c>
    </row>
    <row r="305" ht="15.75" customHeight="1"/>
    <row r="306" ht="15.75" customHeight="1"/>
    <row r="307" ht="15.75" customHeight="1">
      <c r="A307" s="25" t="s">
        <v>4026</v>
      </c>
      <c r="B307" s="26"/>
      <c r="C307" s="26"/>
      <c r="D307" s="26"/>
      <c r="E307" s="26"/>
      <c r="F307" s="26"/>
      <c r="G307" s="26"/>
      <c r="H307" s="26"/>
      <c r="I307" s="26"/>
      <c r="J307" s="26"/>
      <c r="K307" s="26"/>
      <c r="L307" s="26"/>
      <c r="M307" s="26"/>
      <c r="N307" s="26"/>
      <c r="O307" s="26"/>
      <c r="P307" s="26"/>
      <c r="Q307" s="26"/>
      <c r="R307" s="26"/>
      <c r="S307" s="26"/>
      <c r="T307" s="26"/>
      <c r="U307" s="26"/>
      <c r="V307" s="26"/>
      <c r="W307" s="26"/>
    </row>
    <row r="308" ht="15.75" customHeight="1">
      <c r="A308" s="27" t="s">
        <v>4027</v>
      </c>
      <c r="B308" s="26"/>
      <c r="C308" s="26"/>
      <c r="D308" s="26"/>
      <c r="E308" s="26"/>
      <c r="F308" s="26"/>
      <c r="G308" s="26"/>
      <c r="H308" s="26"/>
      <c r="I308" s="26"/>
      <c r="J308" s="26"/>
      <c r="K308" s="26"/>
      <c r="L308" s="26"/>
      <c r="M308" s="26"/>
      <c r="N308" s="26"/>
      <c r="O308" s="26"/>
      <c r="P308" s="26"/>
      <c r="Q308" s="26"/>
      <c r="R308" s="26"/>
      <c r="S308" s="26"/>
      <c r="T308" s="26"/>
      <c r="U308" s="26"/>
      <c r="V308" s="26"/>
      <c r="W308" s="26"/>
    </row>
    <row r="309" ht="15.75" customHeight="1">
      <c r="A309" s="41" t="s">
        <v>1099</v>
      </c>
      <c r="B309" s="41" t="s">
        <v>2200</v>
      </c>
      <c r="C309" s="41" t="s">
        <v>2008</v>
      </c>
      <c r="D309" s="41" t="s">
        <v>1791</v>
      </c>
      <c r="E309" s="41" t="s">
        <v>4028</v>
      </c>
      <c r="F309" s="41" t="s">
        <v>4029</v>
      </c>
      <c r="G309" s="41" t="s">
        <v>4030</v>
      </c>
      <c r="H309" s="41" t="s">
        <v>4031</v>
      </c>
      <c r="I309" s="41" t="s">
        <v>4032</v>
      </c>
      <c r="J309" s="41" t="s">
        <v>4033</v>
      </c>
      <c r="K309" s="41" t="s">
        <v>1798</v>
      </c>
      <c r="L309" s="41" t="s">
        <v>2204</v>
      </c>
      <c r="M309" s="41" t="s">
        <v>1101</v>
      </c>
      <c r="N309" s="41" t="s">
        <v>4034</v>
      </c>
      <c r="O309" s="41" t="s">
        <v>998</v>
      </c>
      <c r="P309" s="41" t="s">
        <v>4035</v>
      </c>
      <c r="Q309" s="41" t="s">
        <v>4036</v>
      </c>
      <c r="R309" s="41" t="s">
        <v>4037</v>
      </c>
      <c r="S309" s="41" t="s">
        <v>4038</v>
      </c>
      <c r="T309" s="41" t="s">
        <v>4039</v>
      </c>
      <c r="U309" s="41" t="s">
        <v>4040</v>
      </c>
      <c r="V309" s="41" t="s">
        <v>4041</v>
      </c>
      <c r="W309" s="41" t="s">
        <v>3965</v>
      </c>
    </row>
    <row r="310" ht="15.75" customHeight="1">
      <c r="A310" s="13" t="s">
        <v>1911</v>
      </c>
      <c r="B310" s="43">
        <v>46.0</v>
      </c>
      <c r="C310" s="43">
        <v>1.999906E9</v>
      </c>
      <c r="D310" s="43">
        <v>36427.0</v>
      </c>
      <c r="E310" s="43">
        <v>7.0</v>
      </c>
      <c r="F310" s="43">
        <v>7.0</v>
      </c>
      <c r="G310" s="43">
        <v>7.0</v>
      </c>
      <c r="H310" s="43">
        <v>8.0</v>
      </c>
      <c r="I310" s="43">
        <v>1.0</v>
      </c>
      <c r="J310" s="43">
        <v>2.0</v>
      </c>
      <c r="K310" s="43">
        <v>7.0</v>
      </c>
      <c r="L310" s="43">
        <v>0.0</v>
      </c>
      <c r="M310" s="43">
        <v>2.0</v>
      </c>
      <c r="N310" s="43">
        <v>0.0</v>
      </c>
      <c r="O310" s="43">
        <v>1.0</v>
      </c>
      <c r="P310" s="43">
        <v>93.8</v>
      </c>
      <c r="Q310" s="43">
        <v>51.8</v>
      </c>
      <c r="R310" s="43">
        <v>80336.0</v>
      </c>
      <c r="S310" s="43">
        <v>2.21</v>
      </c>
      <c r="T310" s="43">
        <v>1.365712E8</v>
      </c>
      <c r="U310" s="13" t="s">
        <v>4042</v>
      </c>
      <c r="V310" s="43">
        <v>6.0</v>
      </c>
      <c r="W310" s="13" t="s">
        <v>344</v>
      </c>
    </row>
    <row r="311" ht="15.75" customHeight="1">
      <c r="A311" s="13" t="s">
        <v>1913</v>
      </c>
      <c r="B311" s="43">
        <v>47.0</v>
      </c>
      <c r="C311" s="43">
        <v>1.999908E9</v>
      </c>
      <c r="D311" s="43">
        <v>33721.0</v>
      </c>
      <c r="E311" s="43">
        <v>9.0</v>
      </c>
      <c r="F311" s="43">
        <v>9.0</v>
      </c>
      <c r="G311" s="43">
        <v>6.0</v>
      </c>
      <c r="H311" s="43">
        <v>9.0</v>
      </c>
      <c r="I311" s="43">
        <v>1.0</v>
      </c>
      <c r="J311" s="43">
        <v>1.0</v>
      </c>
      <c r="K311" s="43">
        <v>8.0</v>
      </c>
      <c r="L311" s="43">
        <v>0.0</v>
      </c>
      <c r="M311" s="43">
        <v>2.0</v>
      </c>
      <c r="N311" s="43">
        <v>0.0</v>
      </c>
      <c r="O311" s="43">
        <v>1.0</v>
      </c>
      <c r="P311" s="43">
        <v>62.5</v>
      </c>
      <c r="Q311" s="43">
        <v>44.4</v>
      </c>
      <c r="R311" s="43">
        <v>27041.0</v>
      </c>
      <c r="S311" s="43">
        <v>0.8</v>
      </c>
      <c r="T311" s="43">
        <v>4.59697E7</v>
      </c>
      <c r="U311" s="13" t="s">
        <v>4043</v>
      </c>
      <c r="V311" s="43">
        <v>7.0</v>
      </c>
      <c r="W311" s="13" t="s">
        <v>344</v>
      </c>
    </row>
    <row r="312" ht="15.75" customHeight="1">
      <c r="A312" s="13" t="s">
        <v>1914</v>
      </c>
      <c r="B312" s="43">
        <v>45.0</v>
      </c>
      <c r="C312" s="43">
        <v>1.999901E9</v>
      </c>
      <c r="D312" s="43">
        <v>29191.0</v>
      </c>
      <c r="E312" s="43">
        <v>7.0</v>
      </c>
      <c r="F312" s="43">
        <v>7.0</v>
      </c>
      <c r="G312" s="43">
        <v>7.0</v>
      </c>
      <c r="H312" s="43">
        <v>7.0</v>
      </c>
      <c r="I312" s="43">
        <v>0.0</v>
      </c>
      <c r="J312" s="43">
        <v>1.0</v>
      </c>
      <c r="K312" s="43">
        <v>7.0</v>
      </c>
      <c r="L312" s="43">
        <v>0.0</v>
      </c>
      <c r="M312" s="43">
        <v>0.0</v>
      </c>
      <c r="N312" s="43">
        <v>0.0</v>
      </c>
      <c r="O312" s="43">
        <v>0.0</v>
      </c>
      <c r="P312" s="43">
        <v>90.0</v>
      </c>
      <c r="Q312" s="43">
        <v>57.1</v>
      </c>
      <c r="R312" s="43">
        <v>31412.0</v>
      </c>
      <c r="S312" s="43">
        <v>1.08</v>
      </c>
      <c r="T312" s="43">
        <v>5.34004E7</v>
      </c>
      <c r="U312" s="13" t="s">
        <v>4044</v>
      </c>
      <c r="V312" s="43">
        <v>4.0</v>
      </c>
      <c r="W312" s="13" t="s">
        <v>344</v>
      </c>
    </row>
    <row r="313" ht="15.75" customHeight="1">
      <c r="A313" s="13" t="s">
        <v>1909</v>
      </c>
      <c r="B313" s="43">
        <v>48.0</v>
      </c>
      <c r="C313" s="43">
        <v>1.999907E9</v>
      </c>
      <c r="D313" s="43">
        <v>28322.0</v>
      </c>
      <c r="E313" s="43">
        <v>7.0</v>
      </c>
      <c r="F313" s="43">
        <v>7.0</v>
      </c>
      <c r="G313" s="43">
        <v>4.0</v>
      </c>
      <c r="H313" s="43">
        <v>7.0</v>
      </c>
      <c r="I313" s="43">
        <v>1.0</v>
      </c>
      <c r="J313" s="43">
        <v>1.0</v>
      </c>
      <c r="K313" s="43">
        <v>5.0</v>
      </c>
      <c r="L313" s="43">
        <v>1.0</v>
      </c>
      <c r="M313" s="43">
        <v>0.0</v>
      </c>
      <c r="N313" s="43">
        <v>0.0</v>
      </c>
      <c r="O313" s="43">
        <v>2.0</v>
      </c>
      <c r="P313" s="43">
        <v>75.0</v>
      </c>
      <c r="Q313" s="43">
        <v>54.1</v>
      </c>
      <c r="R313" s="43">
        <v>28322.0</v>
      </c>
      <c r="S313" s="43">
        <v>1.0</v>
      </c>
      <c r="T313" s="43">
        <v>2.775542E7</v>
      </c>
      <c r="U313" s="13" t="s">
        <v>4045</v>
      </c>
      <c r="V313" s="43">
        <v>6.0</v>
      </c>
      <c r="W313" s="13" t="s">
        <v>344</v>
      </c>
    </row>
    <row r="314" ht="15.75" customHeight="1">
      <c r="A314" s="13" t="s">
        <v>1910</v>
      </c>
      <c r="B314" s="43">
        <v>42.0</v>
      </c>
      <c r="C314" s="43">
        <v>1.999903E9</v>
      </c>
      <c r="D314" s="43">
        <v>26099.0</v>
      </c>
      <c r="E314" s="43">
        <v>7.0</v>
      </c>
      <c r="F314" s="43">
        <v>7.0</v>
      </c>
      <c r="G314" s="43">
        <v>7.0</v>
      </c>
      <c r="H314" s="43">
        <v>8.0</v>
      </c>
      <c r="I314" s="43">
        <v>1.0</v>
      </c>
      <c r="J314" s="43">
        <v>1.0</v>
      </c>
      <c r="K314" s="43">
        <v>7.0</v>
      </c>
      <c r="L314" s="43">
        <v>0.0</v>
      </c>
      <c r="M314" s="43">
        <v>0.0</v>
      </c>
      <c r="N314" s="43">
        <v>0.0</v>
      </c>
      <c r="O314" s="43">
        <v>1.0</v>
      </c>
      <c r="P314" s="43">
        <v>76.6</v>
      </c>
      <c r="Q314" s="43">
        <v>51.8</v>
      </c>
      <c r="R314" s="43">
        <v>53194.0</v>
      </c>
      <c r="S314" s="43">
        <v>2.04</v>
      </c>
      <c r="T314" s="43">
        <v>5.427692E7</v>
      </c>
      <c r="U314" s="13" t="s">
        <v>4046</v>
      </c>
      <c r="V314" s="43">
        <v>12.0</v>
      </c>
      <c r="W314" s="13" t="s">
        <v>344</v>
      </c>
    </row>
    <row r="315" ht="15.75" customHeight="1">
      <c r="A315" s="13" t="s">
        <v>1912</v>
      </c>
      <c r="B315" s="43">
        <v>43.0</v>
      </c>
      <c r="C315" s="43">
        <v>1.999904E9</v>
      </c>
      <c r="D315" s="43">
        <v>25500.0</v>
      </c>
      <c r="E315" s="43">
        <v>7.0</v>
      </c>
      <c r="F315" s="43">
        <v>7.0</v>
      </c>
      <c r="G315" s="43">
        <v>7.0</v>
      </c>
      <c r="H315" s="43">
        <v>7.0</v>
      </c>
      <c r="I315" s="43">
        <v>0.0</v>
      </c>
      <c r="J315" s="43">
        <v>1.0</v>
      </c>
      <c r="K315" s="43">
        <v>7.0</v>
      </c>
      <c r="L315" s="43">
        <v>0.0</v>
      </c>
      <c r="M315" s="43">
        <v>0.0</v>
      </c>
      <c r="N315" s="43">
        <v>0.0</v>
      </c>
      <c r="O315" s="43">
        <v>1.0</v>
      </c>
      <c r="P315" s="43">
        <v>63.0</v>
      </c>
      <c r="Q315" s="43">
        <v>57.1</v>
      </c>
      <c r="R315" s="43">
        <v>22027.0</v>
      </c>
      <c r="S315" s="43">
        <v>0.86</v>
      </c>
      <c r="T315" s="43">
        <v>3.74459E7</v>
      </c>
      <c r="U315" s="13" t="s">
        <v>4043</v>
      </c>
      <c r="V315" s="43">
        <v>8.0</v>
      </c>
      <c r="W315" s="43">
        <v>0.2</v>
      </c>
    </row>
    <row r="316" ht="15.75" customHeight="1">
      <c r="A316" s="13" t="s">
        <v>1916</v>
      </c>
      <c r="B316" s="43">
        <v>41.0</v>
      </c>
      <c r="C316" s="43">
        <v>1.999905E9</v>
      </c>
      <c r="D316" s="43">
        <v>19262.0</v>
      </c>
      <c r="E316" s="43">
        <v>12.0</v>
      </c>
      <c r="F316" s="43">
        <v>12.0</v>
      </c>
      <c r="G316" s="43">
        <v>12.0</v>
      </c>
      <c r="H316" s="43">
        <v>12.0</v>
      </c>
      <c r="I316" s="43">
        <v>1.0</v>
      </c>
      <c r="J316" s="43">
        <v>1.0</v>
      </c>
      <c r="K316" s="43">
        <v>11.0</v>
      </c>
      <c r="L316" s="43">
        <v>0.0</v>
      </c>
      <c r="M316" s="43">
        <v>0.0</v>
      </c>
      <c r="N316" s="43">
        <v>0.0</v>
      </c>
      <c r="O316" s="43">
        <v>0.0</v>
      </c>
      <c r="P316" s="43">
        <v>75.0</v>
      </c>
      <c r="Q316" s="43">
        <v>33.3</v>
      </c>
      <c r="R316" s="43">
        <v>17667.0</v>
      </c>
      <c r="S316" s="43">
        <v>0.92</v>
      </c>
      <c r="T316" s="43">
        <v>3.00339E7</v>
      </c>
      <c r="U316" s="13" t="s">
        <v>4047</v>
      </c>
      <c r="V316" s="43">
        <v>6.0</v>
      </c>
      <c r="W316" s="43">
        <v>0.25</v>
      </c>
    </row>
    <row r="317" ht="15.75" customHeight="1">
      <c r="A317" s="13" t="s">
        <v>1915</v>
      </c>
      <c r="B317" s="43">
        <v>44.0</v>
      </c>
      <c r="C317" s="43">
        <v>1.999902E9</v>
      </c>
      <c r="D317" s="43">
        <v>16181.0</v>
      </c>
      <c r="E317" s="43">
        <v>7.0</v>
      </c>
      <c r="F317" s="43">
        <v>7.0</v>
      </c>
      <c r="G317" s="43">
        <v>7.0</v>
      </c>
      <c r="H317" s="43">
        <v>8.0</v>
      </c>
      <c r="I317" s="43">
        <v>1.0</v>
      </c>
      <c r="J317" s="43">
        <v>1.0</v>
      </c>
      <c r="K317" s="43">
        <v>5.0</v>
      </c>
      <c r="L317" s="43">
        <v>2.0</v>
      </c>
      <c r="M317" s="43">
        <v>0.0</v>
      </c>
      <c r="N317" s="43">
        <v>0.0</v>
      </c>
      <c r="O317" s="43">
        <v>0.0</v>
      </c>
      <c r="P317" s="43">
        <v>87.8</v>
      </c>
      <c r="Q317" s="43">
        <v>50.0</v>
      </c>
      <c r="R317" s="43">
        <v>34954.0</v>
      </c>
      <c r="S317" s="43">
        <v>2.16</v>
      </c>
      <c r="T317" s="43">
        <v>5.94728E7</v>
      </c>
      <c r="U317" s="13" t="s">
        <v>4046</v>
      </c>
      <c r="V317" s="43">
        <v>18.0</v>
      </c>
      <c r="W317" s="13" t="s">
        <v>344</v>
      </c>
    </row>
    <row r="318" ht="15.75" customHeight="1">
      <c r="A318" s="13" t="s">
        <v>1917</v>
      </c>
      <c r="B318" s="13" t="s">
        <v>2248</v>
      </c>
      <c r="C318" s="43">
        <v>1.9999E9</v>
      </c>
      <c r="D318" s="43">
        <v>214703.0</v>
      </c>
      <c r="E318" s="43">
        <v>63.0</v>
      </c>
      <c r="F318" s="43">
        <v>63.0</v>
      </c>
      <c r="G318" s="43">
        <v>57.0</v>
      </c>
      <c r="H318" s="43">
        <v>66.0</v>
      </c>
      <c r="I318" s="43">
        <v>6.0</v>
      </c>
      <c r="J318" s="43">
        <v>9.0</v>
      </c>
      <c r="K318" s="43">
        <v>57.0</v>
      </c>
      <c r="L318" s="43">
        <v>3.0</v>
      </c>
      <c r="M318" s="43">
        <v>4.0</v>
      </c>
      <c r="N318" s="43">
        <v>0.0</v>
      </c>
      <c r="O318" s="43">
        <v>6.0</v>
      </c>
      <c r="P318" s="43">
        <v>78.0</v>
      </c>
      <c r="Q318" s="43">
        <v>50.0</v>
      </c>
      <c r="R318" s="43">
        <v>294953.0</v>
      </c>
      <c r="S318" s="43">
        <v>1.37</v>
      </c>
      <c r="T318" s="43">
        <v>4.4492624E8</v>
      </c>
      <c r="U318" s="13" t="s">
        <v>4048</v>
      </c>
      <c r="V318" s="43">
        <v>67.0</v>
      </c>
      <c r="W318" s="13" t="s">
        <v>2390</v>
      </c>
    </row>
    <row r="319" ht="15.75" customHeight="1">
      <c r="A319" s="42" t="s">
        <v>1039</v>
      </c>
    </row>
    <row r="320" ht="15.75" customHeight="1"/>
    <row r="321" ht="15.75" customHeight="1"/>
    <row r="322" ht="15.75" customHeight="1">
      <c r="A322" s="25" t="s">
        <v>4049</v>
      </c>
      <c r="B322" s="26"/>
      <c r="C322" s="26"/>
      <c r="D322" s="26"/>
      <c r="E322" s="26"/>
      <c r="F322" s="26"/>
      <c r="G322" s="26"/>
    </row>
    <row r="323" ht="15.75" customHeight="1">
      <c r="A323" s="27" t="s">
        <v>4050</v>
      </c>
      <c r="B323" s="26"/>
      <c r="C323" s="26"/>
      <c r="D323" s="26"/>
      <c r="E323" s="26"/>
      <c r="F323" s="26"/>
      <c r="G323" s="26"/>
    </row>
    <row r="324" ht="15.75" customHeight="1">
      <c r="A324" s="41" t="s">
        <v>1099</v>
      </c>
      <c r="B324" s="41" t="s">
        <v>1791</v>
      </c>
      <c r="C324" s="41" t="s">
        <v>4051</v>
      </c>
      <c r="D324" s="41" t="s">
        <v>4052</v>
      </c>
      <c r="E324" s="41" t="s">
        <v>4053</v>
      </c>
      <c r="F324" s="41" t="s">
        <v>1721</v>
      </c>
      <c r="G324" s="41" t="s">
        <v>4054</v>
      </c>
    </row>
    <row r="325" ht="15.75" customHeight="1">
      <c r="A325" s="13" t="s">
        <v>1914</v>
      </c>
      <c r="B325" s="43">
        <v>29191.0</v>
      </c>
      <c r="C325" s="13" t="s">
        <v>4055</v>
      </c>
      <c r="D325" s="13" t="s">
        <v>4056</v>
      </c>
      <c r="E325" s="13" t="s">
        <v>4057</v>
      </c>
      <c r="F325" s="13" t="s">
        <v>4058</v>
      </c>
      <c r="G325" s="13" t="s">
        <v>4059</v>
      </c>
    </row>
    <row r="326" ht="15.75" customHeight="1">
      <c r="A326" s="13" t="s">
        <v>1912</v>
      </c>
      <c r="B326" s="43">
        <v>25500.0</v>
      </c>
      <c r="C326" s="13" t="s">
        <v>4060</v>
      </c>
      <c r="D326" s="13" t="s">
        <v>4061</v>
      </c>
      <c r="E326" s="13" t="s">
        <v>4062</v>
      </c>
      <c r="F326" s="13" t="s">
        <v>4058</v>
      </c>
      <c r="G326" s="13" t="s">
        <v>4063</v>
      </c>
    </row>
    <row r="327" ht="15.75" customHeight="1">
      <c r="A327" s="13" t="s">
        <v>1909</v>
      </c>
      <c r="B327" s="43">
        <v>28322.0</v>
      </c>
      <c r="C327" s="13" t="s">
        <v>4064</v>
      </c>
      <c r="D327" s="13" t="s">
        <v>4065</v>
      </c>
      <c r="E327" s="13" t="s">
        <v>4057</v>
      </c>
      <c r="F327" s="13" t="s">
        <v>4058</v>
      </c>
      <c r="G327" s="13" t="s">
        <v>4066</v>
      </c>
    </row>
    <row r="328" ht="15.75" customHeight="1">
      <c r="A328" s="13" t="s">
        <v>1913</v>
      </c>
      <c r="B328" s="43">
        <v>33721.0</v>
      </c>
      <c r="C328" s="13" t="s">
        <v>4067</v>
      </c>
      <c r="D328" s="13" t="s">
        <v>4068</v>
      </c>
      <c r="E328" s="13" t="s">
        <v>4057</v>
      </c>
      <c r="F328" s="13" t="s">
        <v>4058</v>
      </c>
      <c r="G328" s="13" t="s">
        <v>4066</v>
      </c>
    </row>
    <row r="329" ht="15.75" customHeight="1">
      <c r="A329" s="13" t="s">
        <v>1915</v>
      </c>
      <c r="B329" s="43">
        <v>16181.0</v>
      </c>
      <c r="C329" s="13" t="s">
        <v>4069</v>
      </c>
      <c r="D329" s="13" t="s">
        <v>4070</v>
      </c>
      <c r="E329" s="13" t="s">
        <v>4057</v>
      </c>
      <c r="F329" s="13" t="s">
        <v>4071</v>
      </c>
      <c r="G329" s="13" t="s">
        <v>4072</v>
      </c>
    </row>
    <row r="330" ht="15.75" customHeight="1">
      <c r="A330" s="13" t="s">
        <v>1916</v>
      </c>
      <c r="B330" s="43">
        <v>19262.0</v>
      </c>
      <c r="C330" s="13" t="s">
        <v>4073</v>
      </c>
      <c r="D330" s="13" t="s">
        <v>4074</v>
      </c>
      <c r="E330" s="13" t="s">
        <v>4062</v>
      </c>
      <c r="F330" s="13" t="s">
        <v>4071</v>
      </c>
      <c r="G330" s="13" t="s">
        <v>4072</v>
      </c>
    </row>
    <row r="331" ht="15.75" customHeight="1">
      <c r="A331" s="13" t="s">
        <v>1911</v>
      </c>
      <c r="B331" s="43">
        <v>36427.0</v>
      </c>
      <c r="C331" s="13" t="s">
        <v>4075</v>
      </c>
      <c r="D331" s="13" t="s">
        <v>4076</v>
      </c>
      <c r="E331" s="13" t="s">
        <v>4057</v>
      </c>
      <c r="F331" s="13" t="s">
        <v>3834</v>
      </c>
      <c r="G331" s="13" t="s">
        <v>4077</v>
      </c>
    </row>
    <row r="332" ht="15.75" customHeight="1">
      <c r="A332" s="13" t="s">
        <v>1910</v>
      </c>
      <c r="B332" s="43">
        <v>26099.0</v>
      </c>
      <c r="C332" s="13" t="s">
        <v>4078</v>
      </c>
      <c r="D332" s="13" t="s">
        <v>4079</v>
      </c>
      <c r="E332" s="13" t="s">
        <v>4057</v>
      </c>
      <c r="F332" s="13" t="s">
        <v>3834</v>
      </c>
      <c r="G332" s="13" t="s">
        <v>4080</v>
      </c>
    </row>
    <row r="333" ht="15.75" customHeight="1">
      <c r="A333" s="13" t="s">
        <v>1917</v>
      </c>
      <c r="B333" s="43">
        <v>214703.0</v>
      </c>
      <c r="C333" s="13" t="s">
        <v>4081</v>
      </c>
      <c r="D333" s="13" t="s">
        <v>4082</v>
      </c>
      <c r="E333" s="13" t="s">
        <v>2390</v>
      </c>
      <c r="F333" s="13" t="s">
        <v>4083</v>
      </c>
      <c r="G333" s="13" t="s">
        <v>4084</v>
      </c>
    </row>
    <row r="334" ht="15.75" customHeight="1">
      <c r="A334" s="42" t="s">
        <v>1042</v>
      </c>
    </row>
    <row r="335" ht="15.75" customHeight="1"/>
    <row r="336" ht="15.75" customHeight="1"/>
    <row r="337" ht="15.75" customHeight="1">
      <c r="A337" s="25" t="s">
        <v>4085</v>
      </c>
      <c r="B337" s="26"/>
      <c r="C337" s="26"/>
      <c r="D337" s="26"/>
    </row>
    <row r="338" ht="15.75" customHeight="1">
      <c r="A338" s="27" t="s">
        <v>4086</v>
      </c>
      <c r="B338" s="26"/>
      <c r="C338" s="26"/>
      <c r="D338" s="26"/>
    </row>
    <row r="339" ht="15.75" customHeight="1">
      <c r="A339" s="41" t="s">
        <v>2693</v>
      </c>
      <c r="B339" s="41" t="s">
        <v>3840</v>
      </c>
      <c r="C339" s="41" t="s">
        <v>3841</v>
      </c>
      <c r="D339" s="41" t="s">
        <v>3462</v>
      </c>
    </row>
    <row r="340" ht="15.75" customHeight="1">
      <c r="A340" s="13" t="s">
        <v>4087</v>
      </c>
      <c r="B340" s="13"/>
      <c r="C340" s="13"/>
      <c r="D340" s="13"/>
    </row>
    <row r="341" ht="15.75" customHeight="1">
      <c r="A341" s="43">
        <v>1.0</v>
      </c>
      <c r="B341" s="13" t="s">
        <v>4088</v>
      </c>
      <c r="C341" s="13" t="s">
        <v>4089</v>
      </c>
      <c r="D341" s="13" t="s">
        <v>4090</v>
      </c>
    </row>
    <row r="342" ht="15.75" customHeight="1">
      <c r="A342" s="43">
        <v>2.0</v>
      </c>
      <c r="B342" s="13" t="s">
        <v>4091</v>
      </c>
      <c r="C342" s="13" t="s">
        <v>4092</v>
      </c>
      <c r="D342" s="13" t="s">
        <v>4093</v>
      </c>
    </row>
    <row r="343" ht="15.75" customHeight="1">
      <c r="A343" s="43">
        <v>3.0</v>
      </c>
      <c r="B343" s="13" t="s">
        <v>4094</v>
      </c>
      <c r="C343" s="13" t="s">
        <v>4095</v>
      </c>
      <c r="D343" s="13" t="s">
        <v>4096</v>
      </c>
    </row>
    <row r="344" ht="15.75" customHeight="1">
      <c r="A344" s="43">
        <v>4.0</v>
      </c>
      <c r="B344" s="13" t="s">
        <v>4097</v>
      </c>
      <c r="C344" s="13" t="s">
        <v>4098</v>
      </c>
      <c r="D344" s="13" t="s">
        <v>4099</v>
      </c>
    </row>
    <row r="345" ht="15.75" customHeight="1">
      <c r="A345" s="43">
        <v>5.0</v>
      </c>
      <c r="B345" s="13" t="s">
        <v>4100</v>
      </c>
      <c r="C345" s="13" t="s">
        <v>4101</v>
      </c>
      <c r="D345" s="13" t="s">
        <v>4102</v>
      </c>
    </row>
    <row r="346" ht="15.75" customHeight="1">
      <c r="A346" s="13" t="s">
        <v>4103</v>
      </c>
      <c r="B346" s="13"/>
      <c r="C346" s="13"/>
      <c r="D346" s="13"/>
    </row>
    <row r="347" ht="15.75" customHeight="1">
      <c r="A347" s="43">
        <v>6.0</v>
      </c>
      <c r="B347" s="13" t="s">
        <v>4104</v>
      </c>
      <c r="C347" s="13" t="s">
        <v>4105</v>
      </c>
      <c r="D347" s="13" t="s">
        <v>3547</v>
      </c>
    </row>
    <row r="348" ht="15.75" customHeight="1">
      <c r="A348" s="43">
        <v>7.0</v>
      </c>
      <c r="B348" s="13" t="s">
        <v>4106</v>
      </c>
      <c r="C348" s="13" t="s">
        <v>4107</v>
      </c>
      <c r="D348" s="13" t="s">
        <v>4108</v>
      </c>
    </row>
    <row r="349" ht="15.75" customHeight="1">
      <c r="A349" s="43">
        <v>8.0</v>
      </c>
      <c r="B349" s="13" t="s">
        <v>4109</v>
      </c>
      <c r="C349" s="13" t="s">
        <v>4110</v>
      </c>
      <c r="D349" s="13" t="s">
        <v>4111</v>
      </c>
    </row>
    <row r="350" ht="15.75" customHeight="1">
      <c r="A350" s="43">
        <v>9.0</v>
      </c>
      <c r="B350" s="13" t="s">
        <v>4112</v>
      </c>
      <c r="C350" s="13" t="s">
        <v>4113</v>
      </c>
      <c r="D350" s="13" t="s">
        <v>4114</v>
      </c>
    </row>
    <row r="351" ht="15.75" customHeight="1">
      <c r="A351" s="43">
        <v>10.0</v>
      </c>
      <c r="B351" s="13" t="s">
        <v>4115</v>
      </c>
      <c r="C351" s="13" t="s">
        <v>4116</v>
      </c>
      <c r="D351" s="13" t="s">
        <v>4117</v>
      </c>
    </row>
    <row r="352" ht="15.75" customHeight="1">
      <c r="A352" s="43">
        <v>11.0</v>
      </c>
      <c r="B352" s="13" t="s">
        <v>3931</v>
      </c>
      <c r="C352" s="13" t="s">
        <v>4118</v>
      </c>
      <c r="D352" s="13" t="s">
        <v>4119</v>
      </c>
    </row>
    <row r="353" ht="15.75" customHeight="1">
      <c r="A353" s="43">
        <v>12.0</v>
      </c>
      <c r="B353" s="13" t="s">
        <v>4120</v>
      </c>
      <c r="C353" s="13" t="s">
        <v>4121</v>
      </c>
      <c r="D353" s="13" t="s">
        <v>4122</v>
      </c>
    </row>
    <row r="354" ht="15.75" customHeight="1">
      <c r="A354" s="13" t="s">
        <v>4123</v>
      </c>
      <c r="B354" s="13"/>
      <c r="C354" s="13"/>
      <c r="D354" s="13"/>
    </row>
    <row r="355" ht="15.75" customHeight="1">
      <c r="A355" s="43">
        <v>13.0</v>
      </c>
      <c r="B355" s="13" t="s">
        <v>4124</v>
      </c>
      <c r="C355" s="13" t="s">
        <v>4125</v>
      </c>
      <c r="D355" s="13" t="s">
        <v>4126</v>
      </c>
    </row>
    <row r="356" ht="15.75" customHeight="1">
      <c r="A356" s="43">
        <v>14.0</v>
      </c>
      <c r="B356" s="13" t="s">
        <v>4127</v>
      </c>
      <c r="C356" s="13" t="s">
        <v>4128</v>
      </c>
      <c r="D356" s="13" t="s">
        <v>4129</v>
      </c>
    </row>
    <row r="357" ht="15.75" customHeight="1">
      <c r="A357" s="43">
        <v>15.0</v>
      </c>
      <c r="B357" s="13" t="s">
        <v>4130</v>
      </c>
      <c r="C357" s="13" t="s">
        <v>4131</v>
      </c>
      <c r="D357" s="13" t="s">
        <v>4132</v>
      </c>
    </row>
    <row r="358" ht="15.75" customHeight="1">
      <c r="A358" s="43">
        <v>16.0</v>
      </c>
      <c r="B358" s="13" t="s">
        <v>4133</v>
      </c>
      <c r="C358" s="13" t="s">
        <v>4134</v>
      </c>
      <c r="D358" s="13" t="s">
        <v>4135</v>
      </c>
    </row>
    <row r="359" ht="15.75" customHeight="1">
      <c r="A359" s="43">
        <v>17.0</v>
      </c>
      <c r="B359" s="13" t="s">
        <v>4136</v>
      </c>
      <c r="C359" s="13" t="s">
        <v>4137</v>
      </c>
      <c r="D359" s="13" t="s">
        <v>4138</v>
      </c>
    </row>
    <row r="360" ht="15.75" customHeight="1">
      <c r="A360" s="43">
        <v>18.0</v>
      </c>
      <c r="B360" s="13" t="s">
        <v>4139</v>
      </c>
      <c r="C360" s="13" t="s">
        <v>4140</v>
      </c>
      <c r="D360" s="13" t="s">
        <v>4141</v>
      </c>
    </row>
    <row r="361" ht="15.75" customHeight="1">
      <c r="A361" s="42" t="s">
        <v>1044</v>
      </c>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24.0"/>
    <col customWidth="1" min="3" max="3" width="20.0"/>
    <col customWidth="1" min="4" max="4" width="34.0"/>
    <col customWidth="1" min="5" max="5" width="74.0"/>
    <col customWidth="1" min="6" max="6" width="66.0"/>
    <col customWidth="1" min="7" max="7" width="56.0"/>
    <col customWidth="1" min="8" max="8" width="30.0"/>
    <col customWidth="1" min="9" max="26" width="8.71"/>
  </cols>
  <sheetData>
    <row r="1">
      <c r="A1" s="2" t="s">
        <v>2693</v>
      </c>
      <c r="B1" s="2" t="s">
        <v>1200</v>
      </c>
      <c r="C1" s="2" t="s">
        <v>3440</v>
      </c>
      <c r="D1" s="2" t="s">
        <v>3442</v>
      </c>
      <c r="E1" s="2" t="s">
        <v>3445</v>
      </c>
      <c r="F1" s="2" t="s">
        <v>3446</v>
      </c>
      <c r="G1" s="2" t="s">
        <v>3448</v>
      </c>
      <c r="H1" s="2" t="s">
        <v>96</v>
      </c>
    </row>
    <row r="2">
      <c r="A2" s="45">
        <v>1.0</v>
      </c>
      <c r="B2" s="45" t="s">
        <v>3455</v>
      </c>
      <c r="C2" s="45" t="s">
        <v>128</v>
      </c>
      <c r="D2" s="45" t="s">
        <v>3460</v>
      </c>
      <c r="E2" s="45" t="s">
        <v>3464</v>
      </c>
      <c r="F2" s="45" t="s">
        <v>3466</v>
      </c>
      <c r="G2" s="45" t="s">
        <v>3469</v>
      </c>
      <c r="H2" s="45" t="s">
        <v>3472</v>
      </c>
    </row>
    <row r="3">
      <c r="A3" s="45">
        <v>2.0</v>
      </c>
      <c r="B3" s="45" t="s">
        <v>3455</v>
      </c>
      <c r="C3" s="45" t="s">
        <v>128</v>
      </c>
      <c r="D3" s="45" t="s">
        <v>3479</v>
      </c>
      <c r="E3" s="45" t="s">
        <v>3483</v>
      </c>
      <c r="F3" s="45" t="s">
        <v>3486</v>
      </c>
      <c r="G3" s="45" t="s">
        <v>3490</v>
      </c>
      <c r="H3" s="45" t="s">
        <v>3472</v>
      </c>
    </row>
    <row r="4">
      <c r="A4" s="45">
        <v>3.0</v>
      </c>
      <c r="B4" s="45" t="s">
        <v>3455</v>
      </c>
      <c r="C4" s="45" t="s">
        <v>128</v>
      </c>
      <c r="D4" s="45" t="s">
        <v>3497</v>
      </c>
      <c r="E4" s="45" t="s">
        <v>3502</v>
      </c>
      <c r="F4" s="45" t="s">
        <v>3504</v>
      </c>
      <c r="G4" s="45" t="s">
        <v>3507</v>
      </c>
      <c r="H4" s="45" t="s">
        <v>3472</v>
      </c>
    </row>
    <row r="5">
      <c r="A5" s="45">
        <v>4.0</v>
      </c>
      <c r="B5" s="45" t="s">
        <v>3455</v>
      </c>
      <c r="C5" s="45" t="s">
        <v>128</v>
      </c>
      <c r="D5" s="45" t="s">
        <v>3518</v>
      </c>
      <c r="E5" s="45" t="s">
        <v>3521</v>
      </c>
      <c r="F5" s="45" t="s">
        <v>3524</v>
      </c>
      <c r="G5" s="45" t="s">
        <v>3526</v>
      </c>
      <c r="H5" s="45" t="s">
        <v>3472</v>
      </c>
    </row>
    <row r="6">
      <c r="A6" s="45">
        <v>5.0</v>
      </c>
      <c r="B6" s="45" t="s">
        <v>3529</v>
      </c>
      <c r="C6" s="45" t="s">
        <v>3532</v>
      </c>
      <c r="D6" s="45" t="s">
        <v>3535</v>
      </c>
      <c r="E6" s="45" t="s">
        <v>3539</v>
      </c>
      <c r="F6" s="45" t="s">
        <v>3540</v>
      </c>
      <c r="G6" s="45" t="s">
        <v>3543</v>
      </c>
      <c r="H6" s="45" t="s">
        <v>3545</v>
      </c>
    </row>
    <row r="7">
      <c r="A7" s="45">
        <v>6.0</v>
      </c>
      <c r="B7" s="45" t="s">
        <v>3550</v>
      </c>
      <c r="C7" s="45" t="s">
        <v>3551</v>
      </c>
      <c r="D7" s="45" t="s">
        <v>3553</v>
      </c>
      <c r="E7" s="45" t="s">
        <v>3556</v>
      </c>
      <c r="F7" s="45" t="s">
        <v>3557</v>
      </c>
      <c r="G7" s="45" t="s">
        <v>3559</v>
      </c>
      <c r="H7" s="45" t="s">
        <v>3561</v>
      </c>
    </row>
    <row r="8">
      <c r="A8" s="45">
        <v>7.0</v>
      </c>
      <c r="B8" s="45" t="s">
        <v>3563</v>
      </c>
      <c r="C8" s="45" t="s">
        <v>212</v>
      </c>
      <c r="D8" s="45" t="s">
        <v>3566</v>
      </c>
      <c r="E8" s="45" t="s">
        <v>3568</v>
      </c>
      <c r="F8" s="45" t="s">
        <v>3569</v>
      </c>
      <c r="G8" s="45" t="s">
        <v>3571</v>
      </c>
      <c r="H8" s="45" t="s">
        <v>3573</v>
      </c>
    </row>
    <row r="9">
      <c r="A9" s="45">
        <v>8.0</v>
      </c>
      <c r="B9" s="45" t="s">
        <v>3575</v>
      </c>
      <c r="C9" s="45" t="s">
        <v>3576</v>
      </c>
      <c r="D9" s="45" t="s">
        <v>3578</v>
      </c>
      <c r="E9" s="45" t="s">
        <v>3580</v>
      </c>
      <c r="F9" s="45" t="s">
        <v>3582</v>
      </c>
      <c r="G9" s="45" t="s">
        <v>3583</v>
      </c>
      <c r="H9" s="45" t="s">
        <v>3585</v>
      </c>
    </row>
    <row r="10">
      <c r="A10" s="45">
        <v>9.0</v>
      </c>
      <c r="B10" s="45" t="s">
        <v>3588</v>
      </c>
      <c r="C10" s="45" t="s">
        <v>3576</v>
      </c>
      <c r="D10" s="45" t="s">
        <v>3590</v>
      </c>
      <c r="E10" s="45" t="s">
        <v>3591</v>
      </c>
      <c r="F10" s="45" t="s">
        <v>3592</v>
      </c>
      <c r="G10" s="45" t="s">
        <v>3593</v>
      </c>
      <c r="H10" s="45" t="s">
        <v>3595</v>
      </c>
    </row>
    <row r="11">
      <c r="A11" s="45">
        <v>10.0</v>
      </c>
      <c r="B11" s="45" t="s">
        <v>3596</v>
      </c>
      <c r="C11" s="45" t="s">
        <v>158</v>
      </c>
      <c r="D11" s="45" t="s">
        <v>3597</v>
      </c>
      <c r="E11" s="45" t="s">
        <v>3598</v>
      </c>
      <c r="F11" s="45" t="s">
        <v>3600</v>
      </c>
      <c r="G11" s="45" t="s">
        <v>3603</v>
      </c>
      <c r="H11" s="45" t="s">
        <v>3604</v>
      </c>
    </row>
    <row r="12">
      <c r="A12" s="45">
        <v>11.0</v>
      </c>
      <c r="B12" s="45" t="s">
        <v>3607</v>
      </c>
      <c r="C12" s="45" t="s">
        <v>212</v>
      </c>
      <c r="D12" s="45" t="s">
        <v>3609</v>
      </c>
      <c r="E12" s="45" t="s">
        <v>3611</v>
      </c>
      <c r="F12" s="45" t="s">
        <v>3612</v>
      </c>
      <c r="G12" s="45" t="s">
        <v>3614</v>
      </c>
      <c r="H12" s="45" t="s">
        <v>3616</v>
      </c>
    </row>
    <row r="13">
      <c r="A13" s="45">
        <v>12.0</v>
      </c>
      <c r="B13" s="45" t="s">
        <v>3619</v>
      </c>
      <c r="C13" s="45" t="s">
        <v>212</v>
      </c>
      <c r="D13" s="45" t="s">
        <v>3620</v>
      </c>
      <c r="E13" s="45" t="s">
        <v>3622</v>
      </c>
      <c r="F13" s="45" t="s">
        <v>3624</v>
      </c>
      <c r="G13" s="45" t="s">
        <v>3626</v>
      </c>
      <c r="H13" s="45" t="s">
        <v>3628</v>
      </c>
    </row>
    <row r="14">
      <c r="A14" s="45">
        <v>13.0</v>
      </c>
      <c r="B14" s="45" t="s">
        <v>3631</v>
      </c>
      <c r="C14" s="45" t="s">
        <v>212</v>
      </c>
      <c r="D14" s="45" t="s">
        <v>3633</v>
      </c>
      <c r="E14" s="45" t="s">
        <v>3635</v>
      </c>
      <c r="F14" s="45" t="s">
        <v>3636</v>
      </c>
      <c r="G14" s="45" t="s">
        <v>3638</v>
      </c>
      <c r="H14" s="45" t="s">
        <v>3640</v>
      </c>
    </row>
    <row r="15">
      <c r="A15" s="45">
        <v>14.0</v>
      </c>
      <c r="B15" s="45" t="s">
        <v>3643</v>
      </c>
      <c r="C15" s="45" t="s">
        <v>212</v>
      </c>
      <c r="D15" s="45" t="s">
        <v>3644</v>
      </c>
      <c r="E15" s="45" t="s">
        <v>3646</v>
      </c>
      <c r="F15" s="45" t="s">
        <v>3648</v>
      </c>
      <c r="G15" s="45" t="s">
        <v>3649</v>
      </c>
      <c r="H15" s="45" t="s">
        <v>3640</v>
      </c>
    </row>
    <row r="16">
      <c r="A16" s="45">
        <v>15.0</v>
      </c>
      <c r="B16" s="45" t="s">
        <v>3652</v>
      </c>
      <c r="C16" s="45" t="s">
        <v>3654</v>
      </c>
      <c r="D16" s="45" t="s">
        <v>3656</v>
      </c>
      <c r="E16" s="45" t="s">
        <v>3658</v>
      </c>
      <c r="F16" s="45" t="s">
        <v>3660</v>
      </c>
      <c r="G16" s="45" t="s">
        <v>3661</v>
      </c>
      <c r="H16" s="45" t="s">
        <v>3663</v>
      </c>
    </row>
    <row r="17">
      <c r="A17" s="45">
        <v>16.0</v>
      </c>
      <c r="B17" s="45" t="s">
        <v>3665</v>
      </c>
      <c r="C17" s="45" t="s">
        <v>3654</v>
      </c>
      <c r="D17" s="45" t="s">
        <v>3669</v>
      </c>
      <c r="E17" s="45" t="s">
        <v>3671</v>
      </c>
      <c r="F17" s="45" t="s">
        <v>3673</v>
      </c>
      <c r="G17" s="45" t="s">
        <v>3675</v>
      </c>
      <c r="H17" s="45" t="s">
        <v>3678</v>
      </c>
    </row>
    <row r="18">
      <c r="A18" s="45">
        <v>17.0</v>
      </c>
      <c r="B18" s="45" t="s">
        <v>3681</v>
      </c>
      <c r="C18" s="45" t="s">
        <v>128</v>
      </c>
      <c r="D18" s="45" t="s">
        <v>3684</v>
      </c>
      <c r="E18" s="45" t="s">
        <v>3687</v>
      </c>
      <c r="F18" s="45" t="s">
        <v>3690</v>
      </c>
      <c r="G18" s="45" t="s">
        <v>3694</v>
      </c>
      <c r="H18" s="45" t="s">
        <v>3545</v>
      </c>
    </row>
    <row r="19">
      <c r="A19" s="45">
        <v>18.0</v>
      </c>
      <c r="B19" s="45" t="s">
        <v>3699</v>
      </c>
      <c r="C19" s="45" t="s">
        <v>3701</v>
      </c>
      <c r="D19" s="45" t="s">
        <v>3704</v>
      </c>
      <c r="E19" s="45" t="s">
        <v>3709</v>
      </c>
      <c r="F19" s="45" t="s">
        <v>3711</v>
      </c>
      <c r="G19" s="45" t="s">
        <v>3713</v>
      </c>
      <c r="H19" s="45" t="s">
        <v>3715</v>
      </c>
    </row>
    <row r="20">
      <c r="A20" s="45">
        <v>19.0</v>
      </c>
      <c r="B20" s="45" t="s">
        <v>3716</v>
      </c>
      <c r="C20" s="45" t="s">
        <v>3718</v>
      </c>
      <c r="D20" s="45" t="s">
        <v>3720</v>
      </c>
      <c r="E20" s="45" t="s">
        <v>3722</v>
      </c>
      <c r="F20" s="45" t="s">
        <v>3724</v>
      </c>
      <c r="G20" s="45" t="s">
        <v>3726</v>
      </c>
      <c r="H20" s="45" t="s">
        <v>3727</v>
      </c>
    </row>
    <row r="21" ht="15.75" customHeight="1">
      <c r="A21" s="45">
        <v>20.0</v>
      </c>
      <c r="B21" s="45" t="s">
        <v>3730</v>
      </c>
      <c r="C21" s="45" t="s">
        <v>3654</v>
      </c>
      <c r="D21" s="45" t="s">
        <v>3733</v>
      </c>
      <c r="E21" s="45" t="s">
        <v>3734</v>
      </c>
      <c r="F21" s="45" t="s">
        <v>3735</v>
      </c>
      <c r="G21" s="45" t="s">
        <v>3737</v>
      </c>
      <c r="H21" s="45" t="s">
        <v>3739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26.0"/>
    <col customWidth="1" min="3" max="3" width="86.0"/>
    <col customWidth="1" min="4" max="4" width="20.0"/>
    <col customWidth="1" min="5" max="5" width="60.0"/>
    <col customWidth="1" min="6" max="6" width="26.0"/>
    <col customWidth="1" min="7" max="26" width="8.71"/>
  </cols>
  <sheetData>
    <row r="1">
      <c r="A1" s="2" t="s">
        <v>3667</v>
      </c>
      <c r="B1" s="2" t="s">
        <v>3670</v>
      </c>
      <c r="C1" s="2" t="s">
        <v>3055</v>
      </c>
      <c r="D1" s="2" t="s">
        <v>384</v>
      </c>
      <c r="E1" s="2" t="s">
        <v>3677</v>
      </c>
      <c r="F1" s="2" t="s">
        <v>3680</v>
      </c>
    </row>
    <row r="2">
      <c r="A2" s="13" t="s">
        <v>1</v>
      </c>
      <c r="B2" s="13" t="s">
        <v>3683</v>
      </c>
      <c r="C2" s="13" t="s">
        <v>3686</v>
      </c>
      <c r="D2" s="13" t="s">
        <v>3689</v>
      </c>
      <c r="E2" s="13" t="s">
        <v>3691</v>
      </c>
      <c r="F2" s="13" t="s">
        <v>3693</v>
      </c>
    </row>
    <row r="3">
      <c r="A3" s="13" t="s">
        <v>11</v>
      </c>
      <c r="B3" s="13" t="s">
        <v>3696</v>
      </c>
      <c r="C3" s="13" t="s">
        <v>3698</v>
      </c>
      <c r="D3" s="13" t="s">
        <v>3703</v>
      </c>
      <c r="E3" s="13" t="s">
        <v>3705</v>
      </c>
      <c r="F3" s="13" t="s">
        <v>3707</v>
      </c>
    </row>
    <row r="4">
      <c r="A4" s="13" t="s">
        <v>3708</v>
      </c>
      <c r="B4" s="13" t="s">
        <v>3710</v>
      </c>
      <c r="C4" s="13" t="s">
        <v>3712</v>
      </c>
      <c r="D4" s="13" t="s">
        <v>3703</v>
      </c>
      <c r="E4" s="13" t="s">
        <v>3714</v>
      </c>
      <c r="F4" s="13" t="s">
        <v>3707</v>
      </c>
    </row>
    <row r="5">
      <c r="A5" s="13" t="s">
        <v>35</v>
      </c>
      <c r="B5" s="13" t="s">
        <v>3717</v>
      </c>
      <c r="C5" s="13" t="s">
        <v>3719</v>
      </c>
      <c r="D5" s="13" t="s">
        <v>3721</v>
      </c>
      <c r="E5" s="13" t="s">
        <v>3723</v>
      </c>
      <c r="F5" s="13" t="s">
        <v>3725</v>
      </c>
    </row>
    <row r="6">
      <c r="A6" s="13" t="s">
        <v>464</v>
      </c>
      <c r="B6" s="13" t="s">
        <v>3728</v>
      </c>
      <c r="C6" s="13" t="s">
        <v>3729</v>
      </c>
      <c r="D6" s="13" t="s">
        <v>3731</v>
      </c>
      <c r="E6" s="13" t="s">
        <v>3732</v>
      </c>
      <c r="F6" s="13" t="s">
        <v>3707</v>
      </c>
    </row>
    <row r="7">
      <c r="A7" s="13" t="s">
        <v>466</v>
      </c>
      <c r="B7" s="13" t="s">
        <v>3736</v>
      </c>
      <c r="C7" s="13" t="s">
        <v>3738</v>
      </c>
      <c r="D7" s="13" t="s">
        <v>3740</v>
      </c>
      <c r="E7" s="13" t="s">
        <v>3742</v>
      </c>
      <c r="F7" s="13" t="s">
        <v>3743</v>
      </c>
    </row>
    <row r="8">
      <c r="A8" s="13" t="s">
        <v>3744</v>
      </c>
      <c r="B8" s="13" t="s">
        <v>3745</v>
      </c>
      <c r="C8" s="13" t="s">
        <v>3746</v>
      </c>
      <c r="D8" s="13" t="s">
        <v>3740</v>
      </c>
      <c r="E8" s="13" t="s">
        <v>3747</v>
      </c>
      <c r="F8" s="13" t="s">
        <v>3748</v>
      </c>
    </row>
    <row r="9">
      <c r="A9" s="13" t="s">
        <v>893</v>
      </c>
      <c r="B9" s="13" t="s">
        <v>3749</v>
      </c>
      <c r="C9" s="13" t="s">
        <v>3750</v>
      </c>
      <c r="D9" s="13" t="s">
        <v>3740</v>
      </c>
      <c r="E9" s="13" t="s">
        <v>3751</v>
      </c>
      <c r="F9" s="13" t="s">
        <v>3752</v>
      </c>
    </row>
    <row r="10">
      <c r="A10" s="13" t="s">
        <v>479</v>
      </c>
      <c r="B10" s="13" t="s">
        <v>3753</v>
      </c>
      <c r="C10" s="13" t="s">
        <v>3754</v>
      </c>
      <c r="D10" s="13" t="s">
        <v>3756</v>
      </c>
      <c r="E10" s="13" t="s">
        <v>3757</v>
      </c>
      <c r="F10" s="13" t="s">
        <v>3707</v>
      </c>
    </row>
    <row r="11">
      <c r="A11" s="13" t="s">
        <v>482</v>
      </c>
      <c r="B11" s="13" t="s">
        <v>272</v>
      </c>
      <c r="C11" s="13" t="s">
        <v>3759</v>
      </c>
      <c r="D11" s="13" t="s">
        <v>3760</v>
      </c>
      <c r="E11" s="13" t="s">
        <v>3761</v>
      </c>
      <c r="F11" s="13" t="s">
        <v>3707</v>
      </c>
    </row>
    <row r="12">
      <c r="A12" s="13" t="s">
        <v>484</v>
      </c>
      <c r="B12" s="13" t="s">
        <v>272</v>
      </c>
      <c r="C12" s="13" t="s">
        <v>3762</v>
      </c>
      <c r="D12" s="13" t="s">
        <v>3760</v>
      </c>
      <c r="E12" s="13" t="s">
        <v>3763</v>
      </c>
      <c r="F12" s="13" t="s">
        <v>3764</v>
      </c>
    </row>
    <row r="13">
      <c r="A13" s="13" t="s">
        <v>486</v>
      </c>
      <c r="B13" s="13" t="s">
        <v>272</v>
      </c>
      <c r="C13" s="13" t="s">
        <v>3766</v>
      </c>
      <c r="D13" s="13" t="s">
        <v>3768</v>
      </c>
      <c r="E13" s="13" t="s">
        <v>3770</v>
      </c>
      <c r="F13" s="13" t="s">
        <v>3707</v>
      </c>
    </row>
    <row r="14">
      <c r="A14" s="13" t="s">
        <v>487</v>
      </c>
      <c r="B14" s="13" t="s">
        <v>272</v>
      </c>
      <c r="C14" s="13" t="s">
        <v>3775</v>
      </c>
      <c r="D14" s="13" t="s">
        <v>3760</v>
      </c>
      <c r="E14" s="13" t="s">
        <v>3776</v>
      </c>
      <c r="F14" s="13" t="s">
        <v>3777</v>
      </c>
    </row>
    <row r="15">
      <c r="A15" s="13" t="s">
        <v>490</v>
      </c>
      <c r="B15" s="13" t="s">
        <v>272</v>
      </c>
      <c r="C15" s="13" t="s">
        <v>3778</v>
      </c>
      <c r="D15" s="13" t="s">
        <v>3760</v>
      </c>
      <c r="E15" s="13" t="s">
        <v>3779</v>
      </c>
      <c r="F15" s="13" t="s">
        <v>3707</v>
      </c>
    </row>
    <row r="16">
      <c r="A16" s="13" t="s">
        <v>491</v>
      </c>
      <c r="B16" s="13" t="s">
        <v>272</v>
      </c>
      <c r="C16" s="13" t="s">
        <v>3780</v>
      </c>
      <c r="D16" s="13" t="s">
        <v>3760</v>
      </c>
      <c r="E16" s="13" t="s">
        <v>3781</v>
      </c>
      <c r="F16" s="13" t="s">
        <v>3707</v>
      </c>
    </row>
    <row r="17">
      <c r="A17" s="13" t="s">
        <v>497</v>
      </c>
      <c r="B17" s="13" t="s">
        <v>272</v>
      </c>
      <c r="C17" s="13" t="s">
        <v>3782</v>
      </c>
      <c r="D17" s="13" t="s">
        <v>3783</v>
      </c>
      <c r="E17" s="13" t="s">
        <v>3784</v>
      </c>
      <c r="F17" s="13" t="s">
        <v>3785</v>
      </c>
    </row>
    <row r="18">
      <c r="A18" s="13" t="s">
        <v>3786</v>
      </c>
      <c r="B18" s="13" t="s">
        <v>3749</v>
      </c>
      <c r="C18" s="13" t="s">
        <v>3787</v>
      </c>
      <c r="D18" s="13" t="s">
        <v>3788</v>
      </c>
      <c r="E18" s="13" t="s">
        <v>3789</v>
      </c>
      <c r="F18" s="13" t="s">
        <v>3785</v>
      </c>
    </row>
    <row r="19">
      <c r="A19" s="13" t="s">
        <v>3790</v>
      </c>
      <c r="B19" s="13" t="s">
        <v>3749</v>
      </c>
      <c r="C19" s="13" t="s">
        <v>3791</v>
      </c>
      <c r="D19" s="13" t="s">
        <v>3788</v>
      </c>
      <c r="E19" s="13" t="s">
        <v>3789</v>
      </c>
      <c r="F19" s="13" t="s">
        <v>3785</v>
      </c>
    </row>
    <row r="20">
      <c r="A20" s="13" t="s">
        <v>514</v>
      </c>
      <c r="B20" s="13" t="s">
        <v>3745</v>
      </c>
      <c r="C20" s="13" t="s">
        <v>3792</v>
      </c>
      <c r="D20" s="13" t="s">
        <v>3760</v>
      </c>
      <c r="E20" s="13" t="s">
        <v>3789</v>
      </c>
      <c r="F20" s="13" t="s">
        <v>3785</v>
      </c>
    </row>
    <row r="21" ht="15.75" customHeight="1">
      <c r="A21" s="13" t="s">
        <v>517</v>
      </c>
      <c r="B21" s="13" t="s">
        <v>3753</v>
      </c>
      <c r="C21" s="13" t="s">
        <v>3793</v>
      </c>
      <c r="D21" s="13" t="s">
        <v>3794</v>
      </c>
      <c r="E21" s="13" t="s">
        <v>3789</v>
      </c>
      <c r="F21" s="13" t="s">
        <v>3785</v>
      </c>
    </row>
    <row r="22" ht="15.75" customHeight="1">
      <c r="A22" s="13" t="s">
        <v>557</v>
      </c>
      <c r="B22" s="13" t="s">
        <v>3795</v>
      </c>
      <c r="C22" s="13" t="s">
        <v>3796</v>
      </c>
      <c r="D22" s="13" t="s">
        <v>3797</v>
      </c>
      <c r="E22" s="13" t="s">
        <v>3789</v>
      </c>
      <c r="F22" s="13" t="s">
        <v>3785</v>
      </c>
    </row>
    <row r="23" ht="15.75" customHeight="1">
      <c r="A23" s="13" t="s">
        <v>462</v>
      </c>
      <c r="B23" s="13" t="s">
        <v>272</v>
      </c>
      <c r="C23" s="13" t="s">
        <v>3798</v>
      </c>
      <c r="D23" s="13" t="s">
        <v>3799</v>
      </c>
      <c r="E23" s="13" t="s">
        <v>3800</v>
      </c>
      <c r="F23" s="13" t="s">
        <v>3693</v>
      </c>
    </row>
    <row r="24" ht="15.75" customHeight="1">
      <c r="A24" s="13" t="s">
        <v>3801</v>
      </c>
      <c r="B24" s="13" t="s">
        <v>3802</v>
      </c>
      <c r="C24" s="13" t="s">
        <v>3803</v>
      </c>
      <c r="D24" s="13" t="s">
        <v>344</v>
      </c>
      <c r="E24" s="13" t="s">
        <v>3804</v>
      </c>
      <c r="F24" s="13" t="s">
        <v>3693</v>
      </c>
    </row>
    <row r="25" ht="15.75" customHeight="1">
      <c r="A25" s="13" t="s">
        <v>3805</v>
      </c>
      <c r="B25" s="13" t="s">
        <v>3802</v>
      </c>
      <c r="C25" s="13" t="s">
        <v>3806</v>
      </c>
      <c r="D25" s="13" t="s">
        <v>344</v>
      </c>
      <c r="E25" s="13" t="s">
        <v>3807</v>
      </c>
      <c r="F25" s="13" t="s">
        <v>3693</v>
      </c>
    </row>
    <row r="26" ht="15.75" customHeight="1">
      <c r="A26" s="13" t="s">
        <v>3808</v>
      </c>
      <c r="B26" s="13" t="s">
        <v>3802</v>
      </c>
      <c r="C26" s="13" t="s">
        <v>3809</v>
      </c>
      <c r="D26" s="13" t="s">
        <v>344</v>
      </c>
      <c r="E26" s="13" t="s">
        <v>3810</v>
      </c>
      <c r="F26" s="13" t="s">
        <v>3693</v>
      </c>
    </row>
    <row r="27" ht="15.75" customHeight="1">
      <c r="A27" s="13" t="s">
        <v>3811</v>
      </c>
      <c r="B27" s="13" t="s">
        <v>3802</v>
      </c>
      <c r="C27" s="13" t="s">
        <v>3812</v>
      </c>
      <c r="D27" s="13" t="s">
        <v>344</v>
      </c>
      <c r="E27" s="13" t="s">
        <v>3813</v>
      </c>
      <c r="F27" s="13" t="s">
        <v>3693</v>
      </c>
    </row>
    <row r="28" ht="15.75" customHeight="1">
      <c r="A28" s="13" t="s">
        <v>3814</v>
      </c>
      <c r="B28" s="13" t="s">
        <v>3802</v>
      </c>
      <c r="C28" s="13" t="s">
        <v>3815</v>
      </c>
      <c r="D28" s="13" t="s">
        <v>344</v>
      </c>
      <c r="E28" s="13" t="s">
        <v>3816</v>
      </c>
      <c r="F28" s="13" t="s">
        <v>3693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